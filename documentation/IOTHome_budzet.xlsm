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workbookProtection workbookPassword="E359" lockStructure="1"/>
  <bookViews>
    <workbookView xWindow="-15" yWindow="-15" windowWidth="20520" windowHeight="8145" tabRatio="842" activeTab="2"/>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costs'!$A$1:$U$33</definedName>
    <definedName name="_xlnm.Print_Area" localSheetId="3">'2-3. Travel Costs&amp;Costs of Stay'!$A$1:$P$16</definedName>
    <definedName name="_xlnm.Print_Area" localSheetId="4">'4. Equipment Costs'!$A$1:$J$19</definedName>
    <definedName name="_xlnm.Print_Area" localSheetId="5">'5. Subcontracting Costs'!$A$1:$J$17</definedName>
    <definedName name="_xlnm.Print_Area" localSheetId="7">'Breakdown &amp; Project Funding'!$A$1:$J$78</definedName>
    <definedName name="_xlnm.Print_Area" localSheetId="6">'Co-financing'!$A$1:$K$19</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costs'!$33:$1048576,'1. Staff costs'!#REF!</definedName>
    <definedName name="Z_D7932BCF_3472_4742_BE90_75070A4D3346_.wvu.Rows" localSheetId="3" hidden="1">'2-3. Travel Costs&amp;Costs of Stay'!$16:$1048576,'2-3. Travel Costs&amp;Costs of Stay'!#REF!</definedName>
    <definedName name="Z_D7932BCF_3472_4742_BE90_75070A4D3346_.wvu.Rows" localSheetId="4" hidden="1">'4. Equipment Costs'!$19:$1048576,'4. Equipment Costs'!#REF!</definedName>
    <definedName name="Z_D7932BCF_3472_4742_BE90_75070A4D3346_.wvu.Rows" localSheetId="5" hidden="1">'5. Subcontracting Costs'!$17:$1048576,'5.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44525"/>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15" i="39" l="1"/>
  <c r="D15" i="39"/>
  <c r="O15" i="39" s="1"/>
  <c r="E16" i="70"/>
  <c r="D16" i="70"/>
  <c r="E15" i="70"/>
  <c r="D15" i="70"/>
  <c r="I15" i="70" s="1"/>
  <c r="H15" i="70" s="1"/>
  <c r="E18" i="26"/>
  <c r="D18" i="26"/>
  <c r="I18" i="26" s="1"/>
  <c r="H18" i="26" s="1"/>
  <c r="E17" i="26"/>
  <c r="D17" i="26"/>
  <c r="D16" i="26"/>
  <c r="E15" i="26"/>
  <c r="D15" i="26"/>
  <c r="E31" i="40"/>
  <c r="D31" i="40"/>
  <c r="E30" i="40"/>
  <c r="D30" i="40"/>
  <c r="D29" i="40"/>
  <c r="E27" i="40"/>
  <c r="D27" i="40"/>
  <c r="E25" i="40"/>
  <c r="D25" i="40"/>
  <c r="T25" i="40" s="1"/>
  <c r="E24" i="40"/>
  <c r="D24" i="40"/>
  <c r="E32" i="40"/>
  <c r="D32" i="40"/>
  <c r="T32" i="40" s="1"/>
  <c r="E28" i="40"/>
  <c r="D28" i="40"/>
  <c r="E26" i="40"/>
  <c r="D26" i="40"/>
  <c r="T26" i="40" s="1"/>
  <c r="E23" i="40"/>
  <c r="D23" i="40"/>
  <c r="T23" i="40" s="1"/>
  <c r="D22" i="40"/>
  <c r="E21" i="40"/>
  <c r="D21" i="40"/>
  <c r="T21" i="40" s="1"/>
  <c r="E20" i="40"/>
  <c r="D20" i="40"/>
  <c r="E19" i="40"/>
  <c r="D19" i="40"/>
  <c r="T19" i="40" s="1"/>
  <c r="E18" i="40"/>
  <c r="D18" i="40"/>
  <c r="E17" i="40"/>
  <c r="D17" i="40"/>
  <c r="T17" i="40" s="1"/>
  <c r="D16" i="40"/>
  <c r="E15" i="40"/>
  <c r="D15" i="40"/>
  <c r="T15" i="40" s="1"/>
  <c r="I16" i="70" l="1"/>
  <c r="H16" i="70" s="1"/>
  <c r="T18" i="40"/>
  <c r="T20" i="40"/>
  <c r="R20" i="40" s="1"/>
  <c r="I15" i="26"/>
  <c r="H15" i="26" s="1"/>
  <c r="M15" i="39"/>
  <c r="L15" i="39"/>
  <c r="I17" i="26"/>
  <c r="H17" i="26" s="1"/>
  <c r="T28" i="40"/>
  <c r="R28" i="40" s="1"/>
  <c r="T24" i="40"/>
  <c r="R24" i="40" s="1"/>
  <c r="T27" i="40"/>
  <c r="R27" i="40" s="1"/>
  <c r="T30" i="40"/>
  <c r="R30" i="40" s="1"/>
  <c r="T31" i="40"/>
  <c r="R31" i="40" s="1"/>
  <c r="R25" i="40"/>
  <c r="R32" i="40"/>
  <c r="R26" i="40"/>
  <c r="R23" i="40"/>
  <c r="R21" i="40"/>
  <c r="R19" i="40"/>
  <c r="R18" i="40"/>
  <c r="R17" i="40"/>
  <c r="R15" i="40"/>
  <c r="E21" i="41"/>
  <c r="E20" i="41"/>
  <c r="E17" i="41"/>
  <c r="N15" i="39" l="1"/>
  <c r="H22" i="55"/>
  <c r="H77" i="55" s="1"/>
  <c r="H10" i="55"/>
  <c r="K40" i="41" l="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J31" i="40" l="1"/>
  <c r="K31" i="40" s="1"/>
  <c r="J32" i="40"/>
  <c r="K32" i="40" s="1"/>
  <c r="J28" i="40"/>
  <c r="K28" i="40" s="1"/>
  <c r="J30" i="40"/>
  <c r="K30" i="40" s="1"/>
  <c r="G32" i="40"/>
  <c r="H32" i="40" s="1"/>
  <c r="G31" i="40"/>
  <c r="H31" i="40" s="1"/>
  <c r="G30" i="40"/>
  <c r="H30" i="40" s="1"/>
  <c r="G28" i="40"/>
  <c r="H28" i="40" s="1"/>
  <c r="M31" i="40"/>
  <c r="N31" i="40" s="1"/>
  <c r="M30" i="40"/>
  <c r="N30" i="40" s="1"/>
  <c r="M28" i="40"/>
  <c r="N28" i="40" s="1"/>
  <c r="M32" i="40"/>
  <c r="N32" i="40" s="1"/>
  <c r="P31" i="40"/>
  <c r="Q31" i="40" s="1"/>
  <c r="P32" i="40"/>
  <c r="Q32" i="40" s="1"/>
  <c r="P28" i="40"/>
  <c r="Q28" i="40" s="1"/>
  <c r="P30" i="40"/>
  <c r="Q30" i="40" s="1"/>
  <c r="J26" i="40"/>
  <c r="K26" i="40" s="1"/>
  <c r="J27" i="40"/>
  <c r="K27" i="40" s="1"/>
  <c r="M27" i="40"/>
  <c r="N27" i="40" s="1"/>
  <c r="M26" i="40"/>
  <c r="N26" i="40" s="1"/>
  <c r="G27" i="40"/>
  <c r="H27" i="40" s="1"/>
  <c r="G26" i="40"/>
  <c r="H26" i="40" s="1"/>
  <c r="P27" i="40"/>
  <c r="Q27" i="40" s="1"/>
  <c r="P26" i="40"/>
  <c r="Q26" i="40" s="1"/>
  <c r="J25" i="40"/>
  <c r="K25" i="40" s="1"/>
  <c r="J24" i="40"/>
  <c r="K24" i="40" s="1"/>
  <c r="G24" i="40"/>
  <c r="H24" i="40" s="1"/>
  <c r="G25" i="40"/>
  <c r="H25" i="40" s="1"/>
  <c r="M25" i="40"/>
  <c r="N25" i="40" s="1"/>
  <c r="M24" i="40"/>
  <c r="N24" i="40" s="1"/>
  <c r="P25" i="40"/>
  <c r="Q25" i="40" s="1"/>
  <c r="P24" i="40"/>
  <c r="Q24" i="40" s="1"/>
  <c r="J19" i="40"/>
  <c r="K19" i="40" s="1"/>
  <c r="J18" i="40"/>
  <c r="K18" i="40" s="1"/>
  <c r="J15" i="40"/>
  <c r="K15" i="40" s="1"/>
  <c r="J21" i="40"/>
  <c r="K21" i="40" s="1"/>
  <c r="J20" i="40"/>
  <c r="K20" i="40" s="1"/>
  <c r="J23" i="40"/>
  <c r="K23" i="40" s="1"/>
  <c r="J17" i="40"/>
  <c r="K17" i="40" s="1"/>
  <c r="G21" i="40"/>
  <c r="H21" i="40" s="1"/>
  <c r="G18" i="40"/>
  <c r="H18" i="40" s="1"/>
  <c r="G15" i="40"/>
  <c r="H15" i="40" s="1"/>
  <c r="G20" i="40"/>
  <c r="H20" i="40" s="1"/>
  <c r="G23" i="40"/>
  <c r="H23" i="40" s="1"/>
  <c r="G19" i="40"/>
  <c r="H19" i="40" s="1"/>
  <c r="G17" i="40"/>
  <c r="H17" i="40" s="1"/>
  <c r="M20" i="40"/>
  <c r="N20" i="40" s="1"/>
  <c r="M15" i="40"/>
  <c r="N15" i="40" s="1"/>
  <c r="M23" i="40"/>
  <c r="N23" i="40" s="1"/>
  <c r="M19" i="40"/>
  <c r="N19" i="40" s="1"/>
  <c r="M21" i="40"/>
  <c r="N21" i="40" s="1"/>
  <c r="M18" i="40"/>
  <c r="N18" i="40" s="1"/>
  <c r="M17" i="40"/>
  <c r="N17" i="40" s="1"/>
  <c r="P18" i="40"/>
  <c r="Q18" i="40" s="1"/>
  <c r="P21" i="40"/>
  <c r="Q21" i="40" s="1"/>
  <c r="P17" i="40"/>
  <c r="Q17" i="40" s="1"/>
  <c r="P23" i="40"/>
  <c r="Q23" i="40" s="1"/>
  <c r="P19" i="40"/>
  <c r="Q19" i="40" s="1"/>
  <c r="P20" i="40"/>
  <c r="Q20" i="40" s="1"/>
  <c r="P15" i="40"/>
  <c r="Q15" i="40" s="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7" i="41"/>
  <c r="H29"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27" i="41"/>
  <c r="G29"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D14" i="71"/>
  <c r="D13" i="71"/>
  <c r="C14" i="71"/>
  <c r="C13" i="71"/>
  <c r="E14" i="70"/>
  <c r="E13" i="70"/>
  <c r="D14" i="70"/>
  <c r="D13" i="70"/>
  <c r="E14" i="26"/>
  <c r="E13" i="26"/>
  <c r="D14" i="26"/>
  <c r="D13" i="26"/>
  <c r="E14" i="39"/>
  <c r="E13" i="39"/>
  <c r="D14" i="39"/>
  <c r="D13" i="39"/>
  <c r="E14" i="40"/>
  <c r="E13" i="40"/>
  <c r="D14" i="40"/>
  <c r="D13" i="40"/>
  <c r="E12" i="41"/>
  <c r="E11" i="41"/>
  <c r="E22" i="41"/>
  <c r="G7" i="55"/>
  <c r="G9" i="55"/>
  <c r="F9" i="55"/>
  <c r="E7" i="55"/>
  <c r="D7" i="55"/>
  <c r="E13" i="41"/>
  <c r="E8" i="55"/>
  <c r="F7" i="55"/>
  <c r="E16" i="26" l="1"/>
  <c r="I16" i="26" s="1"/>
  <c r="H16" i="26" s="1"/>
  <c r="E29" i="40"/>
  <c r="T29" i="40" s="1"/>
  <c r="E22" i="40"/>
  <c r="T22" i="40" s="1"/>
  <c r="E16" i="40"/>
  <c r="T16" i="40" s="1"/>
  <c r="S31" i="40"/>
  <c r="S32" i="40"/>
  <c r="S28" i="40"/>
  <c r="S30" i="40"/>
  <c r="S26" i="40"/>
  <c r="S27" i="40"/>
  <c r="S25" i="40"/>
  <c r="S24" i="40"/>
  <c r="S23" i="40"/>
  <c r="S18" i="40"/>
  <c r="S17" i="40"/>
  <c r="S20" i="40"/>
  <c r="S21" i="40"/>
  <c r="S19" i="40"/>
  <c r="S15" i="40"/>
  <c r="T14" i="40"/>
  <c r="P14" i="40" s="1"/>
  <c r="Q14" i="40" s="1"/>
  <c r="O14" i="39"/>
  <c r="O13" i="39"/>
  <c r="L13" i="39" s="1"/>
  <c r="J13" i="71"/>
  <c r="I13" i="71" s="1"/>
  <c r="I13" i="26"/>
  <c r="I13" i="70"/>
  <c r="F8" i="55"/>
  <c r="D8" i="55"/>
  <c r="I14" i="26"/>
  <c r="H14" i="26" s="1"/>
  <c r="I14" i="70"/>
  <c r="H14" i="70" s="1"/>
  <c r="J14" i="71"/>
  <c r="T13" i="40"/>
  <c r="G5" i="55" l="1"/>
  <c r="G6" i="55"/>
  <c r="R16" i="40"/>
  <c r="P16" i="40"/>
  <c r="Q16" i="40" s="1"/>
  <c r="J16" i="40"/>
  <c r="K16" i="40" s="1"/>
  <c r="M16" i="40"/>
  <c r="N16" i="40" s="1"/>
  <c r="G16" i="40"/>
  <c r="H16" i="40" s="1"/>
  <c r="R22" i="40"/>
  <c r="M22" i="40"/>
  <c r="N22" i="40" s="1"/>
  <c r="P22" i="40"/>
  <c r="Q22" i="40" s="1"/>
  <c r="J22" i="40"/>
  <c r="K22" i="40" s="1"/>
  <c r="G22" i="40"/>
  <c r="H22" i="40" s="1"/>
  <c r="R29" i="40"/>
  <c r="G29" i="40"/>
  <c r="H29" i="40" s="1"/>
  <c r="M29" i="40"/>
  <c r="N29" i="40" s="1"/>
  <c r="J29" i="40"/>
  <c r="K29" i="40" s="1"/>
  <c r="P29" i="40"/>
  <c r="Q29" i="40" s="1"/>
  <c r="G14" i="40"/>
  <c r="H14" i="40" s="1"/>
  <c r="M14" i="40"/>
  <c r="N14" i="40" s="1"/>
  <c r="J14" i="40"/>
  <c r="K14" i="40" s="1"/>
  <c r="R14" i="40"/>
  <c r="I17" i="41"/>
  <c r="M13" i="39"/>
  <c r="N13" i="39" s="1"/>
  <c r="B3" i="74"/>
  <c r="I21" i="41"/>
  <c r="I22" i="41"/>
  <c r="I20" i="41"/>
  <c r="I18" i="41"/>
  <c r="I19" i="41"/>
  <c r="I14" i="71"/>
  <c r="C4" i="71" s="1"/>
  <c r="C9" i="55"/>
  <c r="F39" i="41"/>
  <c r="F35" i="41"/>
  <c r="F38" i="41"/>
  <c r="F30" i="41"/>
  <c r="F29" i="41"/>
  <c r="F36" i="41"/>
  <c r="F33" i="41"/>
  <c r="F34" i="41"/>
  <c r="F31" i="41"/>
  <c r="F37" i="41"/>
  <c r="F32" i="41"/>
  <c r="H13" i="26"/>
  <c r="C4" i="26" s="1"/>
  <c r="B4" i="74"/>
  <c r="B6" i="74"/>
  <c r="H13" i="70"/>
  <c r="C4" i="70" s="1"/>
  <c r="J47" i="41" s="1"/>
  <c r="B5" i="74"/>
  <c r="B2" i="74"/>
  <c r="F5" i="55"/>
  <c r="F6" i="55"/>
  <c r="L14" i="39"/>
  <c r="D6" i="39" s="1"/>
  <c r="F4" i="39"/>
  <c r="F6" i="39"/>
  <c r="M14" i="39"/>
  <c r="E6" i="55" s="1"/>
  <c r="E7" i="40"/>
  <c r="R13" i="40"/>
  <c r="E6" i="40"/>
  <c r="N13" i="40"/>
  <c r="H13" i="40"/>
  <c r="M13" i="40"/>
  <c r="G13" i="40"/>
  <c r="E5" i="40"/>
  <c r="Q13" i="40"/>
  <c r="J13" i="40"/>
  <c r="E8" i="40"/>
  <c r="K13" i="40"/>
  <c r="P13" i="40"/>
  <c r="S13" i="40"/>
  <c r="C7" i="55" s="1"/>
  <c r="I7" i="55" s="1"/>
  <c r="D8" i="40" l="1"/>
  <c r="G30" i="41"/>
  <c r="D6" i="55"/>
  <c r="E9" i="55"/>
  <c r="H30" i="41"/>
  <c r="G10" i="55"/>
  <c r="S29" i="40"/>
  <c r="C8" i="55" s="1"/>
  <c r="I8" i="55" s="1"/>
  <c r="S22" i="40"/>
  <c r="D24" i="55" s="1"/>
  <c r="S16" i="40"/>
  <c r="D5" i="40"/>
  <c r="S14" i="40"/>
  <c r="D6" i="40"/>
  <c r="D7" i="40"/>
  <c r="D8" i="39"/>
  <c r="D18" i="41" s="1"/>
  <c r="D9" i="55"/>
  <c r="D9" i="39"/>
  <c r="D19" i="41" s="1"/>
  <c r="H28" i="41"/>
  <c r="D5" i="55"/>
  <c r="G28" i="41"/>
  <c r="F28" i="41"/>
  <c r="E47" i="55"/>
  <c r="G30" i="55"/>
  <c r="C68" i="55"/>
  <c r="F10" i="55"/>
  <c r="F8" i="39"/>
  <c r="D7" i="39"/>
  <c r="E6" i="39" s="1"/>
  <c r="D5" i="39"/>
  <c r="G26" i="41"/>
  <c r="D4" i="39"/>
  <c r="H26" i="41"/>
  <c r="E5" i="55"/>
  <c r="N14" i="39"/>
  <c r="C24" i="55" s="1"/>
  <c r="C38" i="55"/>
  <c r="D46" i="55"/>
  <c r="D38" i="55"/>
  <c r="C57" i="55"/>
  <c r="G48" i="55"/>
  <c r="G68" i="55"/>
  <c r="E22" i="55"/>
  <c r="G22" i="55"/>
  <c r="G56" i="55"/>
  <c r="C44" i="55"/>
  <c r="E59" i="55"/>
  <c r="G53" i="55"/>
  <c r="G41" i="55"/>
  <c r="D40" i="55"/>
  <c r="G49" i="55"/>
  <c r="E71" i="55"/>
  <c r="C34" i="55"/>
  <c r="D33" i="55"/>
  <c r="E29" i="55"/>
  <c r="G42" i="55"/>
  <c r="C65" i="55"/>
  <c r="G76" i="55"/>
  <c r="G55" i="55"/>
  <c r="E62" i="55"/>
  <c r="C36" i="55"/>
  <c r="F22" i="55"/>
  <c r="C23" i="55"/>
  <c r="G33" i="55"/>
  <c r="F50" i="55"/>
  <c r="C67" i="55"/>
  <c r="D69" i="55"/>
  <c r="G73" i="55"/>
  <c r="E60" i="55"/>
  <c r="C75" i="55"/>
  <c r="F62" i="55"/>
  <c r="G75" i="55"/>
  <c r="F70" i="55"/>
  <c r="D56" i="55"/>
  <c r="G60" i="55"/>
  <c r="D25" i="55"/>
  <c r="D58" i="55"/>
  <c r="D52" i="55"/>
  <c r="C56" i="55"/>
  <c r="E30" i="55"/>
  <c r="G61" i="55"/>
  <c r="F44" i="55"/>
  <c r="E51" i="55"/>
  <c r="D72" i="55"/>
  <c r="D34" i="55"/>
  <c r="C32" i="55"/>
  <c r="D35" i="55"/>
  <c r="F32" i="55"/>
  <c r="D37" i="55"/>
  <c r="G71" i="55"/>
  <c r="E61" i="55"/>
  <c r="F26" i="55"/>
  <c r="D42" i="55"/>
  <c r="F28" i="55"/>
  <c r="G40" i="55"/>
  <c r="F57" i="55"/>
  <c r="D50" i="55"/>
  <c r="F74" i="55"/>
  <c r="G37" i="55"/>
  <c r="C52" i="55"/>
  <c r="E75" i="55"/>
  <c r="D55" i="55"/>
  <c r="C64" i="55"/>
  <c r="G25" i="55"/>
  <c r="E66" i="55"/>
  <c r="F59" i="55"/>
  <c r="C61" i="55"/>
  <c r="F67" i="55"/>
  <c r="D47" i="55"/>
  <c r="G65" i="55"/>
  <c r="E58" i="55"/>
  <c r="C70" i="55"/>
  <c r="G24" i="55"/>
  <c r="E55" i="55"/>
  <c r="D27" i="55"/>
  <c r="F45" i="55"/>
  <c r="D75" i="55"/>
  <c r="E36" i="55"/>
  <c r="D41" i="55"/>
  <c r="C35" i="55"/>
  <c r="D68" i="55"/>
  <c r="E74" i="55"/>
  <c r="E23" i="55"/>
  <c r="C51" i="55"/>
  <c r="G35" i="55"/>
  <c r="F35" i="55"/>
  <c r="C72" i="55"/>
  <c r="F46" i="55"/>
  <c r="C49" i="55"/>
  <c r="E42" i="55"/>
  <c r="E70" i="55"/>
  <c r="C41" i="55"/>
  <c r="E57" i="55"/>
  <c r="C22" i="55"/>
  <c r="E35" i="55"/>
  <c r="D23" i="55"/>
  <c r="C69" i="55"/>
  <c r="F47" i="55"/>
  <c r="E49" i="55"/>
  <c r="D22" i="55"/>
  <c r="E63" i="55"/>
  <c r="C55" i="55"/>
  <c r="D65" i="55"/>
  <c r="F75" i="55"/>
  <c r="C74" i="55"/>
  <c r="J30" i="41"/>
  <c r="F54" i="55"/>
  <c r="C62" i="55"/>
  <c r="F41" i="55"/>
  <c r="D43" i="55"/>
  <c r="C28" i="55"/>
  <c r="F48" i="55"/>
  <c r="C31" i="55"/>
  <c r="C47" i="55"/>
  <c r="E46" i="55"/>
  <c r="G74" i="55"/>
  <c r="D45"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C27"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E25" i="55"/>
  <c r="F64" i="55"/>
  <c r="F63" i="55"/>
  <c r="D59" i="55"/>
  <c r="G39" i="55"/>
  <c r="E27" i="55"/>
  <c r="D62" i="55"/>
  <c r="C25"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26" i="55"/>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C29" i="55"/>
  <c r="G47" i="55"/>
  <c r="I44" i="41"/>
  <c r="I33" i="41"/>
  <c r="K33" i="41" s="1"/>
  <c r="D54" i="55"/>
  <c r="G28" i="55"/>
  <c r="F66" i="55"/>
  <c r="G69" i="55"/>
  <c r="C42" i="55"/>
  <c r="D28" i="55"/>
  <c r="E54" i="55"/>
  <c r="D32" i="55"/>
  <c r="F40" i="55"/>
  <c r="I64" i="41"/>
  <c r="I30" i="4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E24" i="55"/>
  <c r="D31" i="55"/>
  <c r="D61" i="55"/>
  <c r="E53" i="55"/>
  <c r="F25"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C6" i="55" l="1"/>
  <c r="I6" i="55" s="1"/>
  <c r="D26" i="55"/>
  <c r="I26" i="55" s="1"/>
  <c r="E10" i="55"/>
  <c r="I9" i="55"/>
  <c r="K4" i="39"/>
  <c r="B7" i="74" s="1"/>
  <c r="D9" i="40"/>
  <c r="D17" i="41" s="1"/>
  <c r="D10" i="55"/>
  <c r="K30" i="41"/>
  <c r="K28" i="41"/>
  <c r="E8" i="39"/>
  <c r="E4" i="39"/>
  <c r="E18" i="41"/>
  <c r="K35" i="41"/>
  <c r="K29" i="41"/>
  <c r="K39" i="41"/>
  <c r="K31" i="41"/>
  <c r="K34" i="41"/>
  <c r="I5" i="55"/>
  <c r="I52" i="55"/>
  <c r="K26" i="41"/>
  <c r="C16" i="55"/>
  <c r="E15" i="55"/>
  <c r="E16" i="55"/>
  <c r="D15" i="55"/>
  <c r="D16" i="55"/>
  <c r="I46" i="55"/>
  <c r="I75" i="55"/>
  <c r="I42" i="55"/>
  <c r="I57" i="55"/>
  <c r="I36" i="55"/>
  <c r="I35" i="55"/>
  <c r="I64" i="55"/>
  <c r="I61" i="55"/>
  <c r="I30" i="55"/>
  <c r="I73" i="55"/>
  <c r="I70" i="55"/>
  <c r="I67" i="55"/>
  <c r="I65" i="55"/>
  <c r="I51" i="55"/>
  <c r="I44" i="55"/>
  <c r="I32" i="55"/>
  <c r="I68" i="55"/>
  <c r="I38" i="55"/>
  <c r="I56" i="55"/>
  <c r="I34" i="55"/>
  <c r="I24" i="55"/>
  <c r="I23" i="55"/>
  <c r="I60" i="55"/>
  <c r="I25" i="55"/>
  <c r="I76" i="55"/>
  <c r="I48" i="55"/>
  <c r="I43" i="55"/>
  <c r="I33" i="55"/>
  <c r="I71" i="55"/>
  <c r="I66" i="55"/>
  <c r="I47" i="55"/>
  <c r="I62" i="55"/>
  <c r="I55" i="55"/>
  <c r="I22" i="55"/>
  <c r="C77" i="55"/>
  <c r="I41" i="55"/>
  <c r="I72" i="55"/>
  <c r="I29" i="55"/>
  <c r="I58" i="55"/>
  <c r="I45" i="55"/>
  <c r="I63" i="55"/>
  <c r="I40" i="55"/>
  <c r="I59" i="55"/>
  <c r="I39" i="55"/>
  <c r="I50" i="55"/>
  <c r="I37" i="55"/>
  <c r="I54" i="55"/>
  <c r="I27" i="55"/>
  <c r="I53" i="55"/>
  <c r="I31" i="55"/>
  <c r="I28" i="55"/>
  <c r="I74" i="55"/>
  <c r="I69" i="55"/>
  <c r="I49" i="55"/>
  <c r="F15" i="55"/>
  <c r="K32" i="41"/>
  <c r="C15" i="55"/>
  <c r="K27" i="41"/>
  <c r="G15" i="55"/>
  <c r="G16" i="55"/>
  <c r="F16" i="55"/>
  <c r="E77" i="55"/>
  <c r="G77" i="55"/>
  <c r="F77" i="55"/>
  <c r="C10" i="55"/>
  <c r="I10" i="55" s="1"/>
  <c r="D77" i="55" l="1"/>
  <c r="C17" i="55"/>
  <c r="D17" i="55"/>
  <c r="E17" i="55"/>
  <c r="H15" i="55"/>
  <c r="H16" i="55"/>
  <c r="I77" i="55"/>
  <c r="G17" i="55"/>
  <c r="F17" i="55"/>
  <c r="D22" i="41"/>
  <c r="H17" i="55" l="1"/>
</calcChain>
</file>

<file path=xl/sharedStrings.xml><?xml version="1.0" encoding="utf-8"?>
<sst xmlns="http://schemas.openxmlformats.org/spreadsheetml/2006/main" count="746" uniqueCount="374">
  <si>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</si>
  <si>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</si>
  <si>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</si>
  <si>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</si>
  <si>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</si>
  <si>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</si>
  <si>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</si>
  <si>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</si>
  <si>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</si>
  <si>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</si>
  <si>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</si>
  <si>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</si>
  <si>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</si>
  <si>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</si>
  <si>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</si>
  <si>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</si>
  <si>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</si>
  <si>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</si>
  <si>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</si>
  <si>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</si>
  <si>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</si>
  <si>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</si>
  <si>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</si>
  <si>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</si>
  <si>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</si>
  <si>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</si>
  <si>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</si>
  <si>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</si>
  <si>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</si>
  <si>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</si>
  <si>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</si>
  <si>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</si>
  <si>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</si>
  <si>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</si>
  <si>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</si>
  <si>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</si>
  <si>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</si>
  <si>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</si>
  <si>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</si>
  <si>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</si>
  <si>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</si>
  <si>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</si>
  <si>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</si>
  <si>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</si>
  <si>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</si>
  <si>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</si>
  <si>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</si>
  <si>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</si>
  <si>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</si>
  <si>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</si>
  <si>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</si>
  <si>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</si>
  <si>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</si>
  <si>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</si>
  <si>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</si>
  <si>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</si>
  <si>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</si>
  <si>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</si>
  <si>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</si>
  <si>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</si>
  <si>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</si>
  <si>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</si>
  <si>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</si>
  <si>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</si>
  <si>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</si>
  <si>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</si>
  <si>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</si>
  <si>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</si>
  <si>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</si>
  <si>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</si>
  <si>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</si>
  <si>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</si>
  <si>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</si>
  <si>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</si>
  <si>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</si>
  <si>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</si>
  <si>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</si>
  <si>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</si>
  <si>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</si>
  <si>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</si>
  <si>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</si>
  <si>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</si>
  <si>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</si>
  <si>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</si>
  <si>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</si>
  <si>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</si>
  <si>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</si>
  <si>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</si>
  <si>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</si>
  <si>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</si>
  <si>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</si>
  <si>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</si>
  <si>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</si>
  <si>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</si>
  <si>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</si>
  <si>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</si>
  <si>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</si>
  <si>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</si>
  <si>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</si>
  <si>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</si>
  <si>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</si>
  <si>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</si>
  <si>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</si>
  <si>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</si>
  <si>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</si>
  <si>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</si>
  <si>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</si>
  <si>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</si>
  <si>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</si>
  <si>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</si>
  <si>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</si>
  <si>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</si>
  <si>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</si>
  <si>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</si>
  <si>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</si>
  <si>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</si>
  <si>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</si>
  <si>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</si>
  <si>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</si>
  <si>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</si>
  <si>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</si>
  <si>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</si>
  <si>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</si>
  <si>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</si>
  <si>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</si>
  <si>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</si>
  <si>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</si>
  <si>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</si>
  <si>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</si>
  <si>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</si>
  <si>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</si>
  <si>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</si>
  <si>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</si>
  <si>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</si>
  <si>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</si>
  <si>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</si>
  <si>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</si>
  <si>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</si>
  <si>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</si>
  <si>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</si>
  <si>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</si>
  <si>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</si>
  <si>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</si>
  <si>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</si>
  <si>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</si>
  <si>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</si>
  <si>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</si>
  <si>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</si>
  <si>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</si>
  <si>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</si>
  <si>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</si>
  <si>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</si>
  <si>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</si>
  <si>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</si>
  <si>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</si>
  <si>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</si>
  <si>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</si>
  <si>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</si>
  <si>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</si>
  <si>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</si>
  <si>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</si>
  <si>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</si>
  <si>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</si>
  <si>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</si>
  <si>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</si>
  <si>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</si>
  <si>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</si>
  <si>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</si>
  <si>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</si>
  <si>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</si>
  <si>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</si>
  <si>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</si>
  <si>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</si>
  <si>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</si>
  <si>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</si>
  <si>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</si>
  <si>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</si>
  <si>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</si>
  <si>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</si>
  <si>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</si>
  <si>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</si>
  <si>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</si>
  <si>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</si>
  <si>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</si>
  <si>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</si>
  <si>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</si>
  <si>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</si>
  <si>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</si>
  <si>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</si>
  <si>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</si>
  <si>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</si>
  <si>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</si>
  <si>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</si>
  <si>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</si>
  <si>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</si>
  <si>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</si>
  <si>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</si>
  <si>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</si>
  <si>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</si>
  <si>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</si>
  <si>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</si>
  <si>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</si>
  <si>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</si>
  <si>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</si>
  <si>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</si>
  <si>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</si>
  <si>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</si>
  <si>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</si>
  <si>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</si>
  <si>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</si>
  <si>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</si>
  <si>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</si>
  <si>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</si>
  <si>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</si>
  <si>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</si>
  <si>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</si>
  <si>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</si>
  <si>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</si>
  <si>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</si>
  <si>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</si>
  <si>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</si>
  <si>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</si>
  <si>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</si>
  <si>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</si>
  <si>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</si>
  <si>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</si>
  <si>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</si>
  <si>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</si>
  <si>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</si>
  <si>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</si>
  <si>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</si>
  <si>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</si>
  <si>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</si>
  <si>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</si>
  <si>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</si>
  <si>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</si>
  <si>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</si>
  <si>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</si>
  <si>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</si>
  <si>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</si>
  <si>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</si>
  <si>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</si>
  <si>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</si>
  <si>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</si>
  <si>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</si>
  <si>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</si>
  <si>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</si>
  <si>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</si>
  <si>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</si>
  <si>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</si>
  <si>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</si>
  <si>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</si>
  <si>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</si>
  <si>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</si>
  <si>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</si>
  <si>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</si>
  <si>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</si>
  <si>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</si>
  <si>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</si>
  <si>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</si>
  <si>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</si>
  <si>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</si>
  <si>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</si>
  <si>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</si>
  <si>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</si>
  <si>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</si>
  <si>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</si>
  <si>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</si>
  <si>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</si>
  <si>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</si>
  <si>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</si>
  <si>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</si>
  <si>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</si>
  <si>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</si>
  <si>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</si>
  <si>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</si>
  <si>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</si>
  <si>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</si>
  <si>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</si>
  <si>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</si>
  <si>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</si>
  <si>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</si>
  <si>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</si>
  <si>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</si>
  <si>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</si>
  <si>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</si>
  <si>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</si>
  <si>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</si>
  <si>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</si>
  <si>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</si>
  <si>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</si>
  <si>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</si>
  <si>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</si>
  <si>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</si>
  <si>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</si>
  <si>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</si>
  <si>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</si>
  <si>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</si>
  <si>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</si>
  <si>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</si>
  <si>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</si>
  <si>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</si>
  <si>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</si>
  <si>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</si>
  <si>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</si>
  <si>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</si>
  <si>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</si>
  <si>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</si>
  <si>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</si>
  <si>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</si>
  <si>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</si>
  <si>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</si>
  <si>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</si>
  <si>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</si>
  <si>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</si>
  <si>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</si>
  <si>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</si>
  <si>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</si>
  <si>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</si>
  <si>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</si>
  <si>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</si>
  <si>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</si>
  <si>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</si>
  <si>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</si>
  <si>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</si>
  <si>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</si>
  <si>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</si>
  <si>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</si>
  <si>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</si>
  <si>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</si>
  <si>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</si>
  <si>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</si>
  <si>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</si>
  <si>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</si>
  <si>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</si>
  <si>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</si>
  <si>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</si>
  <si>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</si>
  <si>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</si>
  <si>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</si>
  <si>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</si>
  <si>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</si>
  <si>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</si>
  <si>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</si>
  <si>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</si>
  <si>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</si>
  <si>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</si>
  <si>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</si>
  <si>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</si>
  <si>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</si>
  <si>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</si>
  <si>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</si>
  <si>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</si>
  <si>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</si>
  <si>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</si>
  <si>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Faculty of Electrial Engineering</t>
  </si>
  <si>
    <t>Schnieder Electric Serbia</t>
  </si>
  <si>
    <t>Aegis Defence Services</t>
  </si>
  <si>
    <t xml:space="preserve">Miele </t>
  </si>
  <si>
    <t>ETH Warsawa</t>
  </si>
  <si>
    <t>Vinci Bukurest</t>
  </si>
  <si>
    <t>Joint Project</t>
  </si>
  <si>
    <t>IOTHome</t>
  </si>
  <si>
    <t>Smart home system using the Internet of Things</t>
  </si>
  <si>
    <t>Quality plan</t>
  </si>
  <si>
    <t>Home appliances</t>
  </si>
  <si>
    <t>Central procesor</t>
  </si>
  <si>
    <t>Androids</t>
  </si>
  <si>
    <t>Coding equipment</t>
  </si>
  <si>
    <t>Backend developers</t>
  </si>
  <si>
    <t>Quality assurance help</t>
  </si>
  <si>
    <t>Bejing</t>
  </si>
  <si>
    <t>Warsaw</t>
  </si>
  <si>
    <t>Belgrade</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</si>
</sst>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1" fillId="0" borderId="0" xfId="0" applyFont="1" applyAlignment="1" applyProtection="1">
      <alignment vertical="center"/>
    </xf>
    <xf numFmtId="0" fontId="20" fillId="0" borderId="0" xfId="0" applyFont="1" applyFill="1" applyBorder="1" applyAlignment="1" applyProtection="1">
      <alignment horizontal="left" vertical="center" wrapText="1"/>
    </xf>
    <xf numFmtId="0" fontId="27" fillId="0" borderId="0" xfId="2" applyFont="1" applyAlignment="1" applyProtection="1">
      <alignment vertical="center"/>
      <protection locked="0"/>
    </xf>
    <xf numFmtId="0" fontId="27" fillId="0" borderId="0" xfId="2" applyFont="1" applyAlignment="1" applyProtection="1">
      <alignment vertical="center"/>
    </xf>
    <xf numFmtId="0" fontId="21" fillId="0" borderId="0" xfId="0" applyFont="1" applyProtection="1"/>
    <xf numFmtId="0" fontId="28" fillId="0" borderId="0" xfId="4" applyFont="1" applyBorder="1" applyAlignment="1" applyProtection="1">
      <alignment vertical="center"/>
    </xf>
    <xf numFmtId="0" fontId="6" fillId="0" borderId="0" xfId="0" applyFont="1" applyAlignment="1" applyProtection="1">
      <alignment vertical="center"/>
    </xf>
    <xf numFmtId="0" fontId="30" fillId="0" borderId="0" xfId="0" applyFont="1" applyAlignment="1" applyProtection="1">
      <alignment horizontal="left" vertical="center"/>
    </xf>
    <xf numFmtId="0" fontId="30" fillId="0" borderId="0" xfId="0" applyFont="1" applyAlignment="1" applyProtection="1">
      <alignment vertical="center"/>
    </xf>
    <xf numFmtId="0" fontId="29" fillId="3" borderId="1" xfId="0" applyFont="1" applyFill="1" applyBorder="1" applyAlignment="1" applyProtection="1">
      <alignment horizontal="center" vertical="center"/>
    </xf>
    <xf numFmtId="0" fontId="29" fillId="3" borderId="1" xfId="0" applyFont="1" applyFill="1" applyBorder="1" applyAlignment="1" applyProtection="1">
      <alignment horizontal="center" vertical="center" wrapText="1"/>
    </xf>
    <xf numFmtId="0" fontId="29" fillId="3" borderId="1" xfId="0" applyNumberFormat="1" applyFont="1" applyFill="1" applyBorder="1" applyAlignment="1" applyProtection="1">
      <alignment horizontal="center" vertical="center" wrapText="1"/>
    </xf>
    <xf numFmtId="0" fontId="21" fillId="8" borderId="1" xfId="0" applyFont="1" applyFill="1" applyBorder="1" applyProtection="1"/>
    <xf numFmtId="4" fontId="21" fillId="8" borderId="1" xfId="0" applyNumberFormat="1" applyFont="1" applyFill="1" applyBorder="1" applyProtection="1"/>
    <xf numFmtId="0" fontId="21" fillId="7" borderId="1" xfId="0" applyFont="1" applyFill="1" applyBorder="1" applyProtection="1"/>
    <xf numFmtId="1" fontId="21" fillId="0" borderId="1" xfId="0" applyNumberFormat="1" applyFont="1" applyFill="1" applyBorder="1" applyAlignment="1" applyProtection="1">
      <alignment horizontal="center" vertical="center"/>
    </xf>
    <xf numFmtId="0" fontId="21" fillId="0" borderId="0" xfId="0" applyFont="1" applyFill="1" applyBorder="1" applyProtection="1"/>
    <xf numFmtId="4" fontId="21" fillId="0" borderId="0" xfId="0" applyNumberFormat="1" applyFont="1" applyFill="1" applyBorder="1" applyProtection="1"/>
    <xf numFmtId="0" fontId="32" fillId="0" borderId="0" xfId="0" applyFont="1" applyFill="1" applyBorder="1" applyAlignment="1" applyProtection="1">
      <alignment horizontal="center" vertical="center"/>
    </xf>
    <xf numFmtId="0" fontId="33" fillId="0" borderId="0" xfId="0" applyFont="1" applyFill="1" applyBorder="1" applyAlignment="1" applyProtection="1">
      <alignment vertical="center"/>
    </xf>
    <xf numFmtId="0" fontId="33" fillId="0" borderId="0" xfId="0" applyFont="1" applyFill="1" applyBorder="1" applyProtection="1"/>
    <xf numFmtId="4" fontId="21" fillId="2" borderId="1" xfId="0" applyNumberFormat="1" applyFont="1" applyFill="1" applyBorder="1" applyProtection="1"/>
    <xf numFmtId="4" fontId="21" fillId="9" borderId="1" xfId="0" applyNumberFormat="1" applyFont="1" applyFill="1" applyBorder="1" applyAlignment="1" applyProtection="1">
      <alignment horizontal="right"/>
    </xf>
    <xf numFmtId="4" fontId="21" fillId="7" borderId="1" xfId="0" applyNumberFormat="1" applyFont="1" applyFill="1" applyBorder="1" applyProtection="1"/>
    <xf numFmtId="1" fontId="21" fillId="0" borderId="12" xfId="0" applyNumberFormat="1" applyFont="1" applyFill="1" applyBorder="1" applyAlignment="1" applyProtection="1">
      <alignment horizontal="center" vertical="center"/>
    </xf>
    <xf numFmtId="4" fontId="21" fillId="7" borderId="1" xfId="0" applyNumberFormat="1" applyFont="1" applyFill="1" applyBorder="1" applyAlignment="1" applyProtection="1">
      <alignment horizontal="right"/>
    </xf>
    <xf numFmtId="1" fontId="21"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6"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1" xfId="0" applyFont="1" applyFill="1" applyBorder="1" applyAlignment="1" applyProtection="1">
      <alignment horizontal="left" vertical="center" indent="1"/>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7" fillId="0" borderId="14" xfId="0" applyNumberFormat="1" applyFont="1" applyBorder="1" applyAlignment="1" applyProtection="1">
      <alignment horizontal="right" vertical="center"/>
      <protection hidden="1"/>
    </xf>
    <xf numFmtId="4" fontId="37" fillId="0" borderId="13" xfId="0" applyNumberFormat="1" applyFont="1" applyBorder="1" applyAlignment="1" applyProtection="1">
      <alignment horizontal="right" vertical="center"/>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7" fillId="3" borderId="14" xfId="0" applyNumberFormat="1" applyFont="1" applyFill="1" applyBorder="1" applyAlignment="1" applyProtection="1">
      <alignment horizontal="right" vertical="center"/>
      <protection hidden="1"/>
    </xf>
    <xf numFmtId="4" fontId="37"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34"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9" fillId="3" borderId="2" xfId="0" applyFont="1" applyFill="1" applyBorder="1" applyAlignment="1" applyProtection="1">
      <alignment horizontal="center" vertical="center" wrapText="1"/>
    </xf>
    <xf numFmtId="0" fontId="29" fillId="3" borderId="13" xfId="0" applyFont="1" applyFill="1" applyBorder="1" applyAlignment="1" applyProtection="1">
      <alignment horizontal="center" vertical="center"/>
    </xf>
    <xf numFmtId="0" fontId="29" fillId="3" borderId="14" xfId="0" applyFont="1" applyFill="1" applyBorder="1" applyAlignment="1" applyProtection="1">
      <alignment horizontal="center" vertical="center" wrapText="1"/>
    </xf>
    <xf numFmtId="0" fontId="29" fillId="3" borderId="4" xfId="0" applyFont="1" applyFill="1" applyBorder="1" applyAlignment="1" applyProtection="1">
      <alignment horizontal="left" vertical="center" wrapText="1" indent="1"/>
    </xf>
    <xf numFmtId="0" fontId="29" fillId="3" borderId="15" xfId="0" applyFont="1" applyFill="1" applyBorder="1" applyAlignment="1" applyProtection="1">
      <alignment horizontal="left" vertical="center" wrapText="1" indent="1"/>
    </xf>
    <xf numFmtId="0" fontId="29" fillId="3" borderId="8" xfId="0" applyFont="1" applyFill="1" applyBorder="1" applyAlignment="1" applyProtection="1">
      <alignment horizontal="left" vertical="center" wrapText="1" indent="1"/>
    </xf>
    <xf numFmtId="0" fontId="29" fillId="3" borderId="3" xfId="0" applyFont="1" applyFill="1" applyBorder="1" applyAlignment="1" applyProtection="1">
      <alignment horizontal="left" vertical="center" wrapText="1" indent="1"/>
    </xf>
    <xf numFmtId="0" fontId="29" fillId="3" borderId="6" xfId="0" applyFont="1" applyFill="1" applyBorder="1" applyAlignment="1" applyProtection="1">
      <alignment horizontal="left" vertical="center" wrapText="1" indent="1"/>
    </xf>
    <xf numFmtId="0" fontId="29" fillId="3" borderId="7" xfId="0" applyFont="1" applyFill="1" applyBorder="1" applyAlignment="1" applyProtection="1">
      <alignment horizontal="left" vertical="center" wrapText="1" indent="1"/>
    </xf>
    <xf numFmtId="0" fontId="22" fillId="0" borderId="0" xfId="0" applyFont="1" applyAlignment="1" applyProtection="1">
      <alignment horizontal="left" vertical="center" wrapText="1"/>
    </xf>
    <xf numFmtId="0" fontId="22"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5">
    <cellStyle name="Comma" xfId="1" builtinId="3"/>
    <cellStyle name="Hyperlink" xfId="2" builtinId="8"/>
    <cellStyle name="Hyperlink 2" xfId="4"/>
    <cellStyle name="Normal" xfId="0" builtinId="0"/>
    <cellStyle name="Normal 2" xfId="3"/>
  </cellStyles>
  <dxfs count="186">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K80"/>
  <sheetViews>
    <sheetView showGridLines="0" topLeftCell="B17" zoomScale="70" zoomScaleNormal="70" zoomScaleSheetLayoutView="85" workbookViewId="0">
      <selection activeCell="D33" sqref="D33"/>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1" width="20.7109375" style="1" customWidth="1"/>
    <col min="12" max="12" width="1.7109375" style="1" customWidth="1"/>
    <col min="13" max="16384" width="9.140625" style="1"/>
  </cols>
  <sheetData>
    <row r="1" spans="2:11" ht="9.9499999999999993" customHeight="1" x14ac:dyDescent="0.25">
      <c r="G1" s="3"/>
      <c r="H1" s="3"/>
      <c r="I1" s="3"/>
      <c r="J1" s="3"/>
      <c r="K1" s="3"/>
    </row>
    <row r="2" spans="2:11" s="6" customFormat="1" x14ac:dyDescent="0.25">
      <c r="B2" s="4"/>
      <c r="C2" s="4"/>
      <c r="D2" s="5"/>
      <c r="E2" s="5"/>
      <c r="F2" s="5"/>
      <c r="G2" s="3"/>
      <c r="H2" s="3"/>
      <c r="I2" s="3"/>
      <c r="J2" s="3"/>
      <c r="K2" s="3"/>
    </row>
    <row r="3" spans="2:11" s="6" customFormat="1" x14ac:dyDescent="0.25">
      <c r="B3" s="4"/>
      <c r="C3" s="4"/>
      <c r="D3" s="7" t="s">
        <v>135</v>
      </c>
      <c r="E3" s="8"/>
      <c r="F3" s="5"/>
      <c r="G3" s="3"/>
      <c r="H3" s="3"/>
      <c r="I3" s="3"/>
      <c r="J3" s="3"/>
      <c r="K3" s="3"/>
    </row>
    <row r="4" spans="2:11" s="6" customFormat="1" ht="20.100000000000001" customHeight="1" x14ac:dyDescent="0.25">
      <c r="B4" s="4"/>
      <c r="D4" s="7" t="s">
        <v>315</v>
      </c>
      <c r="E4" s="9"/>
      <c r="F4" s="9"/>
      <c r="G4" s="9"/>
      <c r="H4" s="9"/>
      <c r="I4" s="9"/>
      <c r="J4" s="9"/>
      <c r="K4" s="9"/>
    </row>
    <row r="5" spans="2:11" s="6" customFormat="1" ht="20.100000000000001" customHeight="1" x14ac:dyDescent="0.25">
      <c r="B5" s="4"/>
      <c r="D5" s="9"/>
      <c r="E5" s="9"/>
      <c r="F5" s="9"/>
      <c r="G5" s="9"/>
      <c r="H5" s="9"/>
      <c r="I5" s="9"/>
      <c r="J5" s="9"/>
      <c r="K5" s="9"/>
    </row>
    <row r="6" spans="2:11" s="6" customFormat="1" ht="9.9499999999999993" customHeight="1" x14ac:dyDescent="0.25">
      <c r="B6" s="10"/>
      <c r="C6" s="10"/>
      <c r="D6" s="5"/>
      <c r="E6" s="5"/>
      <c r="F6" s="5"/>
      <c r="G6" s="5"/>
      <c r="H6" s="5"/>
      <c r="I6" s="5"/>
      <c r="J6" s="5"/>
    </row>
    <row r="7" spans="2:11" s="6" customFormat="1" ht="24.95" customHeight="1" x14ac:dyDescent="0.25">
      <c r="B7" s="117" t="s">
        <v>354</v>
      </c>
      <c r="C7" s="117"/>
      <c r="D7" s="117"/>
      <c r="E7" s="117"/>
      <c r="F7" s="117"/>
      <c r="G7" s="117"/>
      <c r="H7" s="117"/>
      <c r="I7" s="117"/>
      <c r="J7" s="117"/>
      <c r="K7" s="117"/>
    </row>
    <row r="8" spans="2:11" s="6" customFormat="1" ht="24.95" customHeight="1" x14ac:dyDescent="0.25">
      <c r="B8" s="118" t="s">
        <v>339</v>
      </c>
      <c r="C8" s="118"/>
      <c r="D8" s="118"/>
      <c r="E8" s="118"/>
      <c r="F8" s="118"/>
      <c r="G8" s="118"/>
      <c r="H8" s="118"/>
      <c r="I8" s="118"/>
      <c r="J8" s="118"/>
      <c r="K8" s="118"/>
    </row>
    <row r="9" spans="2:11" s="6" customFormat="1" ht="24.95" customHeight="1" x14ac:dyDescent="0.25">
      <c r="B9" s="117" t="s">
        <v>132</v>
      </c>
      <c r="C9" s="117"/>
      <c r="D9" s="117"/>
      <c r="E9" s="117"/>
      <c r="F9" s="117"/>
      <c r="G9" s="117"/>
      <c r="H9" s="117"/>
      <c r="I9" s="117"/>
      <c r="J9" s="117"/>
      <c r="K9" s="117"/>
    </row>
    <row r="10" spans="2:11" s="6" customFormat="1" ht="20.100000000000001" customHeight="1" x14ac:dyDescent="0.25">
      <c r="B10" s="10"/>
      <c r="C10" s="10"/>
      <c r="D10" s="5"/>
      <c r="E10" s="5"/>
      <c r="F10" s="5"/>
      <c r="G10" s="5"/>
      <c r="H10" s="5"/>
      <c r="I10" s="5"/>
      <c r="J10" s="5"/>
    </row>
    <row r="11" spans="2:11" s="6" customFormat="1" ht="18" customHeight="1" x14ac:dyDescent="0.25">
      <c r="B11" s="105" t="s">
        <v>2</v>
      </c>
      <c r="C11" s="105"/>
      <c r="D11" s="11" t="s">
        <v>361</v>
      </c>
      <c r="E11" s="119" t="str">
        <f>IF(D11="","Please select Action Type",IF(OR(D11="Joint Project",D11="Structural Project"),"","Error Type of Action"))</f>
        <v/>
      </c>
      <c r="F11" s="119"/>
      <c r="G11" s="119"/>
      <c r="H11" s="119"/>
      <c r="I11" s="119"/>
      <c r="J11" s="119"/>
      <c r="K11" s="119"/>
    </row>
    <row r="12" spans="2:11" s="6" customFormat="1" ht="18" customHeight="1" x14ac:dyDescent="0.25">
      <c r="B12" s="105" t="s">
        <v>138</v>
      </c>
      <c r="C12" s="105"/>
      <c r="D12" s="11">
        <v>36</v>
      </c>
      <c r="E12" s="119" t="str">
        <f>IF(D12="","Please select duration",IF(OR(D12=24,D12=36),"","Error duration"))</f>
        <v/>
      </c>
      <c r="F12" s="119"/>
      <c r="G12" s="119"/>
      <c r="H12" s="119"/>
      <c r="I12" s="119"/>
      <c r="J12" s="119"/>
      <c r="K12" s="119"/>
    </row>
    <row r="13" spans="2:11" s="6" customFormat="1" ht="18" customHeight="1" x14ac:dyDescent="0.25">
      <c r="B13" s="105" t="s">
        <v>171</v>
      </c>
      <c r="C13" s="105"/>
      <c r="D13" s="11" t="s">
        <v>362</v>
      </c>
      <c r="E13" s="119" t="str">
        <f>IF(D13="","Please fill in Project Acronym","")</f>
        <v/>
      </c>
      <c r="F13" s="119"/>
      <c r="G13" s="119"/>
      <c r="H13" s="119"/>
      <c r="I13" s="119"/>
      <c r="J13" s="119"/>
      <c r="K13" s="119"/>
    </row>
    <row r="14" spans="2:11" s="6" customFormat="1" ht="18" customHeight="1" x14ac:dyDescent="0.25">
      <c r="B14" s="105" t="s">
        <v>172</v>
      </c>
      <c r="C14" s="105"/>
      <c r="D14" s="120" t="s">
        <v>363</v>
      </c>
      <c r="E14" s="121"/>
      <c r="F14" s="121"/>
      <c r="G14" s="121"/>
      <c r="H14" s="121"/>
      <c r="I14" s="121"/>
      <c r="J14" s="121"/>
      <c r="K14" s="122"/>
    </row>
    <row r="15" spans="2:11" s="6" customFormat="1" ht="20.100000000000001" customHeight="1" x14ac:dyDescent="0.25">
      <c r="B15" s="5"/>
      <c r="C15" s="5"/>
      <c r="D15" s="5"/>
      <c r="E15" s="5"/>
      <c r="F15" s="12"/>
      <c r="G15" s="5"/>
      <c r="H15" s="5"/>
      <c r="I15" s="5"/>
      <c r="J15" s="5"/>
    </row>
    <row r="16" spans="2:11" s="6" customFormat="1" ht="24.95" customHeight="1" x14ac:dyDescent="0.25">
      <c r="B16" s="104" t="s">
        <v>224</v>
      </c>
      <c r="C16" s="104"/>
      <c r="D16" s="104"/>
      <c r="E16" s="104"/>
      <c r="F16" s="104"/>
      <c r="G16" s="104"/>
      <c r="H16" s="104"/>
      <c r="I16" s="104"/>
      <c r="J16" s="104"/>
      <c r="K16" s="104"/>
    </row>
    <row r="17" spans="2:11" s="6" customFormat="1" x14ac:dyDescent="0.25">
      <c r="B17" s="105" t="s">
        <v>168</v>
      </c>
      <c r="C17" s="105"/>
      <c r="D17" s="13">
        <f>'1. Staff costs'!D9</f>
        <v>252470</v>
      </c>
      <c r="E17" s="107" t="str">
        <f>"Cannot exceed 40% of total Grant requested"</f>
        <v>Cannot exceed 40% of total Grant requested</v>
      </c>
      <c r="F17" s="108"/>
      <c r="G17" s="108"/>
      <c r="H17" s="108"/>
      <c r="I17" s="109" t="str">
        <f>IF(COUNTIF('1. Staff costs'!T:T,"Error")&lt;=1,"","Please check data in Tab '1. Staff Costs'")</f>
        <v/>
      </c>
      <c r="J17" s="109"/>
      <c r="K17" s="110"/>
    </row>
    <row r="18" spans="2:11" s="6" customFormat="1" x14ac:dyDescent="0.25">
      <c r="B18" s="105" t="s">
        <v>343</v>
      </c>
      <c r="C18" s="105"/>
      <c r="D18" s="13">
        <f>'2-3. Travel Costs&amp;Costs of Stay'!D8+IF(OR(C26="",D26=""),0,'2-3. Travel Costs&amp;Costs of Stay'!J4)</f>
        <v>65600</v>
      </c>
      <c r="E18" s="107"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08"/>
      <c r="G18" s="108"/>
      <c r="H18" s="108"/>
      <c r="I18" s="109" t="str">
        <f>IF(COUNTIF('2-3. Travel Costs&amp;Costs of Stay'!O:O,"Error")&lt;=1,"","Please check data in Tab '2-3. Travel Costs&amp;Costs of Stay'")</f>
        <v/>
      </c>
      <c r="J18" s="109"/>
      <c r="K18" s="110"/>
    </row>
    <row r="19" spans="2:11" s="6" customFormat="1" x14ac:dyDescent="0.25">
      <c r="B19" s="105" t="s">
        <v>189</v>
      </c>
      <c r="C19" s="105"/>
      <c r="D19" s="13">
        <f>'2-3. Travel Costs&amp;Costs of Stay'!D9</f>
        <v>224000</v>
      </c>
      <c r="E19" s="115"/>
      <c r="F19" s="116"/>
      <c r="G19" s="116"/>
      <c r="H19" s="116"/>
      <c r="I19" s="109" t="str">
        <f>IF(COUNTIF('2-3. Travel Costs&amp;Costs of Stay'!O:O,"Error")&lt;=1,"","Please check data in Tab '2-3. Travel Costs&amp;Costs of Stay'")</f>
        <v/>
      </c>
      <c r="J19" s="109"/>
      <c r="K19" s="110"/>
    </row>
    <row r="20" spans="2:11" s="6" customFormat="1" x14ac:dyDescent="0.25">
      <c r="B20" s="105" t="s">
        <v>187</v>
      </c>
      <c r="C20" s="105"/>
      <c r="D20" s="13">
        <f>'4. Equipment Costs'!C4</f>
        <v>170000</v>
      </c>
      <c r="E20" s="107" t="str">
        <f>"Cannot exceed 30% of Total Grant requested"</f>
        <v>Cannot exceed 30% of Total Grant requested</v>
      </c>
      <c r="F20" s="108"/>
      <c r="G20" s="108"/>
      <c r="H20" s="108"/>
      <c r="I20" s="109" t="str">
        <f>IF(COUNTIF('4. Equipment Costs'!I:T,"Error")&lt;=1,"","Please check data in Tab '4. Equipment Costs''")</f>
        <v/>
      </c>
      <c r="J20" s="109"/>
      <c r="K20" s="110"/>
    </row>
    <row r="21" spans="2:11" s="6" customFormat="1" x14ac:dyDescent="0.25">
      <c r="B21" s="105" t="s">
        <v>188</v>
      </c>
      <c r="C21" s="105"/>
      <c r="D21" s="13">
        <f>'5. Subcontracting Costs'!C4</f>
        <v>50000</v>
      </c>
      <c r="E21" s="107" t="str">
        <f>"Cannot exceed 10% of Total Grant requested"</f>
        <v>Cannot exceed 10% of Total Grant requested</v>
      </c>
      <c r="F21" s="108"/>
      <c r="G21" s="108"/>
      <c r="H21" s="108"/>
      <c r="I21" s="109" t="str">
        <f>IF(COUNTIF('5. Subcontracting Costs'!I:I,"Error")&lt;=1,"","Please check data in Tab '5. Subcontracting Costs'")</f>
        <v/>
      </c>
      <c r="J21" s="109"/>
      <c r="K21" s="110"/>
    </row>
    <row r="22" spans="2:11" ht="24.95" customHeight="1" x14ac:dyDescent="0.25">
      <c r="B22" s="106" t="s">
        <v>336</v>
      </c>
      <c r="C22" s="106"/>
      <c r="D22" s="14">
        <f>SUM(D17:D21)</f>
        <v>762070</v>
      </c>
      <c r="E22" s="111" t="str">
        <f>"Should be equal or above EUR 500.000,00 and cannot exceed EUR 1.000.000,00"</f>
        <v>Should be equal or above EUR 500.000,00 and cannot exceed EUR 1.000.000,00</v>
      </c>
      <c r="F22" s="112"/>
      <c r="G22" s="112"/>
      <c r="H22" s="112"/>
      <c r="I22" s="113" t="str">
        <f>IF(OR(COUNTIF('Co-financing'!J:J,"Error")&lt;=1,AND('Co-financing'!B14="",'Co-financing'!E14="",'Co-financing'!F14="",'Co-financing'!G14="",'Co-financing'!H14=0)),"","Please check data in Tab 'Co-financing'")</f>
        <v/>
      </c>
      <c r="J22" s="113"/>
      <c r="K22" s="114"/>
    </row>
    <row r="23" spans="2:11" s="6" customFormat="1" ht="20.100000000000001" customHeight="1" x14ac:dyDescent="0.25">
      <c r="B23" s="5"/>
      <c r="C23" s="5"/>
      <c r="D23" s="5"/>
      <c r="E23" s="5"/>
      <c r="F23" s="12"/>
      <c r="G23" s="5"/>
      <c r="H23" s="5"/>
      <c r="I23" s="5"/>
      <c r="J23" s="5"/>
    </row>
    <row r="24" spans="2:11" s="6" customFormat="1" ht="24.95" customHeight="1" x14ac:dyDescent="0.25">
      <c r="B24" s="104" t="s">
        <v>181</v>
      </c>
      <c r="C24" s="104"/>
      <c r="D24" s="104"/>
      <c r="E24" s="104"/>
      <c r="F24" s="104"/>
      <c r="G24" s="104"/>
      <c r="H24" s="104"/>
      <c r="I24" s="104"/>
      <c r="J24" s="104"/>
      <c r="K24" s="104"/>
    </row>
    <row r="25" spans="2:11" s="6" customFormat="1" ht="36" x14ac:dyDescent="0.25">
      <c r="B25" s="54" t="s">
        <v>149</v>
      </c>
      <c r="C25" s="15" t="s">
        <v>150</v>
      </c>
      <c r="D25" s="15" t="s">
        <v>0</v>
      </c>
      <c r="E25" s="16" t="s">
        <v>178</v>
      </c>
      <c r="F25" s="16" t="s">
        <v>193</v>
      </c>
      <c r="G25" s="16" t="s">
        <v>194</v>
      </c>
      <c r="H25" s="16" t="s">
        <v>195</v>
      </c>
      <c r="I25" s="16" t="s">
        <v>196</v>
      </c>
      <c r="J25" s="16" t="s">
        <v>197</v>
      </c>
      <c r="K25" s="18" t="s">
        <v>312</v>
      </c>
    </row>
    <row r="26" spans="2:11" x14ac:dyDescent="0.25">
      <c r="B26" s="52" t="s">
        <v>8</v>
      </c>
      <c r="C26" s="23" t="s">
        <v>355</v>
      </c>
      <c r="D26" s="19" t="s">
        <v>99</v>
      </c>
      <c r="E26" s="20" t="str">
        <f t="shared" ref="E26:E80" si="0">IFERROR(IF(D26&lt;&gt;"",VLOOKUP(D26,CountryType,2,FALSE),""),"Country not found")</f>
        <v>Partner Countries</v>
      </c>
      <c r="F26" s="21">
        <f>SUMIF('1. Staff costs'!C:C,B26,'1. Staff costs'!S:S)</f>
        <v>102290</v>
      </c>
      <c r="G26" s="21">
        <f>SUMIF('2-3. Travel Costs&amp;Costs of Stay'!C:C,B26,'2-3. Travel Costs&amp;Costs of Stay'!L:L)+IF(OR(C26="",D26=""),0,'2-3. Travel Costs&amp;Costs of Stay'!J4)</f>
        <v>24600</v>
      </c>
      <c r="H26" s="21">
        <f>SUMIF('2-3. Travel Costs&amp;Costs of Stay'!C:C,B26,'2-3. Travel Costs&amp;Costs of Stay'!M:M)</f>
        <v>84000</v>
      </c>
      <c r="I26" s="21">
        <f>SUMIF('4. Equipment Costs'!C:C,B26,'4. Equipment Costs'!H:H)</f>
        <v>110000</v>
      </c>
      <c r="J26" s="21">
        <f>SUMIF('5. Subcontracting Costs'!C:C,B26,'5. Subcontracting Costs'!H:H)</f>
        <v>20000</v>
      </c>
      <c r="K26" s="22">
        <f t="shared" ref="K26:K57" si="1">IF(OR(C26="",D26=""),0,SUM(F26:J26))</f>
        <v>340890</v>
      </c>
    </row>
    <row r="27" spans="2:11" x14ac:dyDescent="0.25">
      <c r="B27" s="52" t="s">
        <v>9</v>
      </c>
      <c r="C27" s="23" t="s">
        <v>356</v>
      </c>
      <c r="D27" s="19" t="s">
        <v>99</v>
      </c>
      <c r="E27" s="20" t="str">
        <f t="shared" si="0"/>
        <v>Partner Countries</v>
      </c>
      <c r="F27" s="21">
        <f>SUMIF('1. Staff costs'!C:C,B27,'1. Staff costs'!S:S)</f>
        <v>23500</v>
      </c>
      <c r="G27" s="21">
        <f>SUMIF('2-3. Travel Costs&amp;Costs of Stay'!C:C,B27,'2-3. Travel Costs&amp;Costs of Stay'!L:L)</f>
        <v>0</v>
      </c>
      <c r="H27" s="21">
        <f>SUMIF('2-3. Travel Costs&amp;Costs of Stay'!C:C,B27,'2-3. Travel Costs&amp;Costs of Stay'!M:M)</f>
        <v>0</v>
      </c>
      <c r="I27" s="21">
        <f>SUMIF('4. Equipment Costs'!C:C,B27,'4. Equipment Costs'!H:H)</f>
        <v>60000</v>
      </c>
      <c r="J27" s="21">
        <f>SUMIF('5. Subcontracting Costs'!C:C,B27,'5. Subcontracting Costs'!H:H)</f>
        <v>10000</v>
      </c>
      <c r="K27" s="22">
        <f t="shared" si="1"/>
        <v>93500</v>
      </c>
    </row>
    <row r="28" spans="2:11" x14ac:dyDescent="0.25">
      <c r="B28" s="52" t="s">
        <v>10</v>
      </c>
      <c r="C28" s="23" t="s">
        <v>357</v>
      </c>
      <c r="D28" s="19" t="s">
        <v>48</v>
      </c>
      <c r="E28" s="20" t="str">
        <f t="shared" si="0"/>
        <v>Programme Countries</v>
      </c>
      <c r="F28" s="21">
        <f>SUMIF('1. Staff costs'!C:C,B28,'1. Staff costs'!S:S)</f>
        <v>27370</v>
      </c>
      <c r="G28" s="21">
        <f>SUMIF('2-3. Travel Costs&amp;Costs of Stay'!C:C,B28,'2-3. Travel Costs&amp;Costs of Stay'!L:L)</f>
        <v>0</v>
      </c>
      <c r="H28" s="21">
        <f>SUMIF('2-3. Travel Costs&amp;Costs of Stay'!C:C,B28,'2-3. Travel Costs&amp;Costs of Stay'!M:M)</f>
        <v>0</v>
      </c>
      <c r="I28" s="21">
        <f>SUMIF('4. Equipment Costs'!C:C,B28,'4. Equipment Costs'!H:H)</f>
        <v>0</v>
      </c>
      <c r="J28" s="21">
        <f>SUMIF('5. Subcontracting Costs'!C:C,B28,'5. Subcontracting Costs'!H:H)</f>
        <v>20000</v>
      </c>
      <c r="K28" s="22">
        <f t="shared" si="1"/>
        <v>47370</v>
      </c>
    </row>
    <row r="29" spans="2:11" x14ac:dyDescent="0.25">
      <c r="B29" s="52" t="s">
        <v>11</v>
      </c>
      <c r="C29" s="23" t="s">
        <v>358</v>
      </c>
      <c r="D29" s="19" t="s">
        <v>40</v>
      </c>
      <c r="E29" s="20" t="str">
        <f t="shared" si="0"/>
        <v>Programme Countries</v>
      </c>
      <c r="F29" s="21">
        <f>SUMIF('1. Staff costs'!C:C,B29,'1. Staff costs'!S:S)</f>
        <v>40220</v>
      </c>
      <c r="G29" s="21">
        <f>SUMIF('2-3. Travel Costs&amp;Costs of Stay'!C:C,B29,'2-3. Travel Costs&amp;Costs of Stay'!L:L)</f>
        <v>0</v>
      </c>
      <c r="H29" s="21">
        <f>SUMIF('2-3. Travel Costs&amp;Costs of Stay'!C:C,B29,'2-3. Travel Costs&amp;Costs of Stay'!M:M)</f>
        <v>0</v>
      </c>
      <c r="I29" s="21">
        <f>SUMIF('4. Equipment Costs'!C:C,B29,'4. Equipment Costs'!H:H)</f>
        <v>0</v>
      </c>
      <c r="J29" s="21">
        <f>SUMIF('5. Subcontracting Costs'!C:C,B29,'5. Subcontracting Costs'!H:H)</f>
        <v>0</v>
      </c>
      <c r="K29" s="22">
        <f t="shared" si="1"/>
        <v>40220</v>
      </c>
    </row>
    <row r="30" spans="2:11" x14ac:dyDescent="0.25">
      <c r="B30" s="52" t="s">
        <v>12</v>
      </c>
      <c r="C30" s="23" t="s">
        <v>359</v>
      </c>
      <c r="D30" s="19" t="s">
        <v>51</v>
      </c>
      <c r="E30" s="20" t="str">
        <f t="shared" si="0"/>
        <v>Programme Countries</v>
      </c>
      <c r="F30" s="21">
        <f>SUMIF('1. Staff costs'!C:C,B30,'1. Staff costs'!S:S)</f>
        <v>32150</v>
      </c>
      <c r="G30" s="21">
        <f>SUMIF('2-3. Travel Costs&amp;Costs of Stay'!C:C,B30,'2-3. Travel Costs&amp;Costs of Stay'!L:L)</f>
        <v>41000</v>
      </c>
      <c r="H30" s="21">
        <f>SUMIF('2-3. Travel Costs&amp;Costs of Stay'!C:C,B30,'2-3. Travel Costs&amp;Costs of Stay'!M:M)</f>
        <v>140000</v>
      </c>
      <c r="I30" s="21">
        <f>SUMIF('4. Equipment Costs'!C:C,B30,'4. Equipment Costs'!H:H)</f>
        <v>0</v>
      </c>
      <c r="J30" s="21">
        <f>SUMIF('5. Subcontracting Costs'!C:C,B30,'5. Subcontracting Costs'!H:H)</f>
        <v>0</v>
      </c>
      <c r="K30" s="22">
        <f t="shared" si="1"/>
        <v>213150</v>
      </c>
    </row>
    <row r="31" spans="2:11" x14ac:dyDescent="0.25">
      <c r="B31" s="52" t="s">
        <v>13</v>
      </c>
      <c r="C31" s="23" t="s">
        <v>360</v>
      </c>
      <c r="D31" s="19" t="s">
        <v>52</v>
      </c>
      <c r="E31" s="20" t="str">
        <f t="shared" si="0"/>
        <v>Programme Countries</v>
      </c>
      <c r="F31" s="21">
        <f>SUMIF('1. Staff costs'!C:C,B31,'1. Staff costs'!S:S)</f>
        <v>26940</v>
      </c>
      <c r="G31" s="21">
        <f>SUMIF('2-3. Travel Costs&amp;Costs of Stay'!C:C,B31,'2-3. Travel Costs&amp;Costs of Stay'!L:L)</f>
        <v>0</v>
      </c>
      <c r="H31" s="21">
        <f>SUMIF('2-3. Travel Costs&amp;Costs of Stay'!C:C,B31,'2-3. Travel Costs&amp;Costs of Stay'!M:M)</f>
        <v>0</v>
      </c>
      <c r="I31" s="21">
        <f>SUMIF('4. Equipment Costs'!C:C,B31,'4. Equipment Costs'!H:H)</f>
        <v>0</v>
      </c>
      <c r="J31" s="21">
        <f>SUMIF('5. Subcontracting Costs'!C:C,B31,'5. Subcontracting Costs'!H:H)</f>
        <v>0</v>
      </c>
      <c r="K31" s="22">
        <f t="shared" si="1"/>
        <v>26940</v>
      </c>
    </row>
    <row r="32" spans="2:11" x14ac:dyDescent="0.2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2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2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3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3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2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2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2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2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2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2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2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2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2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2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2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2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2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2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2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2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2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2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2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2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2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2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2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2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2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2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2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2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2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2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2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2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2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2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2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2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2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2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2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2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2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2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2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2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13:C13"/>
    <mergeCell ref="B16:K16"/>
    <mergeCell ref="B17:C17"/>
    <mergeCell ref="E13:K13"/>
    <mergeCell ref="E12:K12"/>
    <mergeCell ref="B14:C14"/>
    <mergeCell ref="D14:K14"/>
    <mergeCell ref="I17:K17"/>
    <mergeCell ref="E17:H17"/>
    <mergeCell ref="B7:K7"/>
    <mergeCell ref="B8:K8"/>
    <mergeCell ref="B9:K9"/>
    <mergeCell ref="B11:C11"/>
    <mergeCell ref="B12:C12"/>
    <mergeCell ref="E11:K1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s>
  <conditionalFormatting sqref="D17">
    <cfRule type="expression" dxfId="185" priority="18">
      <formula>D17&gt;ROUND(D22*0.4,2)</formula>
    </cfRule>
  </conditionalFormatting>
  <conditionalFormatting sqref="D20">
    <cfRule type="expression" dxfId="184" priority="16">
      <formula>D20&gt;ROUND(D22*0.3,2)</formula>
    </cfRule>
  </conditionalFormatting>
  <conditionalFormatting sqref="D21">
    <cfRule type="expression" dxfId="183" priority="14">
      <formula>D21&gt;ROUND(D22*0.1,2)</formula>
    </cfRule>
  </conditionalFormatting>
  <conditionalFormatting sqref="D22">
    <cfRule type="cellIs" dxfId="182" priority="12" operator="notBetween">
      <formula>500000</formula>
      <formula>1000000</formula>
    </cfRule>
  </conditionalFormatting>
  <conditionalFormatting sqref="E18 I18">
    <cfRule type="cellIs" dxfId="181" priority="2" operator="equal">
      <formula>"Exceptional travel costs exceed 80% of total travel costs"</formula>
    </cfRule>
  </conditionalFormatting>
  <conditionalFormatting sqref="I19">
    <cfRule type="cellIs" dxfId="180"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6:C80">
      <formula1>0</formula1>
      <formula2>60</formula2>
    </dataValidation>
    <dataValidation type="list" allowBlank="1" showInputMessage="1" showErrorMessage="1" error="Click arrow to select Country " prompt="Click arrow to select Country " sqref="D26:D80">
      <formula1>CountryALL</formula1>
    </dataValidation>
    <dataValidation type="textLength" allowBlank="1" showInputMessage="1" showErrorMessage="1" error="Max 130 characters" prompt="Max 130 characters" sqref="D14:K14">
      <formula1>0</formula1>
      <formula2>130</formula2>
    </dataValidation>
  </dataValidations>
  <hyperlinks>
    <hyperlink ref="B7:K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A1:B7"/>
  <sheetViews>
    <sheetView zoomScaleNormal="100" workbookViewId="0"/>
  </sheetViews>
  <sheetFormatPr defaultColWidth="9.140625" defaultRowHeight="15" x14ac:dyDescent="0.25"/>
  <cols>
    <col min="1" max="1" width="30.28515625" style="100" customWidth="1"/>
    <col min="2" max="2" width="77.140625" style="100" bestFit="1" customWidth="1"/>
    <col min="3" max="3" width="10.42578125" style="100" customWidth="1"/>
    <col min="4" max="16384" width="9.140625" style="100"/>
  </cols>
  <sheetData>
    <row r="1" spans="1:2" ht="15.75" x14ac:dyDescent="0.25">
      <c r="A1" s="95" t="s">
        <v>353</v>
      </c>
      <c r="B1" s="96"/>
    </row>
    <row r="2" spans="1:2" x14ac:dyDescent="0.25">
      <c r="A2" s="97" t="s">
        <v>168</v>
      </c>
      <c r="B2" s="101" t="str">
        <f>IF(COUNTIF('1. Staff costs'!T:T,"Error")&lt;=1,"OK","Please check data in Tab '"&amp;A2&amp;"'")</f>
        <v>OK</v>
      </c>
    </row>
    <row r="3" spans="1:2" x14ac:dyDescent="0.25">
      <c r="A3" s="98" t="s">
        <v>352</v>
      </c>
      <c r="B3" s="102" t="str">
        <f>IF(COUNTIF('2-3. Travel Costs&amp;Costs of Stay'!O:O,"Error")&lt;=1,"OK","Please check data in Tab '"&amp;A3&amp;"'")</f>
        <v>OK</v>
      </c>
    </row>
    <row r="4" spans="1:2" x14ac:dyDescent="0.25">
      <c r="A4" s="98" t="s">
        <v>187</v>
      </c>
      <c r="B4" s="102" t="str">
        <f>IF(COUNTIF('4. Equipment Costs'!I:T,"Error")&lt;=1,"OK","Please check data in Tab '"&amp;A4&amp;"'")</f>
        <v>OK</v>
      </c>
    </row>
    <row r="5" spans="1:2" x14ac:dyDescent="0.25">
      <c r="A5" s="98" t="s">
        <v>188</v>
      </c>
      <c r="B5" s="102" t="str">
        <f>IF(COUNTIF('5. Subcontracting Costs'!I:I,"Error")&lt;=1,"OK","Please check data in Tab '"&amp;A5&amp;"'")</f>
        <v>OK</v>
      </c>
    </row>
    <row r="6" spans="1:2" x14ac:dyDescent="0.25">
      <c r="A6" s="98" t="s">
        <v>351</v>
      </c>
      <c r="B6" s="102" t="str">
        <f>IF(COUNTIF('Co-financing'!J:J,"Error")&lt;=1,"OK","Please check data in Tab '"&amp;A6&amp;"'")</f>
        <v>Please check data in Tab 'Co-financing'</v>
      </c>
    </row>
    <row r="7" spans="1:2" x14ac:dyDescent="0.25">
      <c r="A7" s="99" t="s">
        <v>347</v>
      </c>
      <c r="B7" s="103" t="str">
        <f>IF('2-3. Travel Costs&amp;Costs of Stay'!K4="","OK","Please check Exceptional Travel Costs (EUR) in Tab '"&amp;A3&amp;"'")</f>
        <v>OK</v>
      </c>
    </row>
  </sheetData>
  <conditionalFormatting sqref="B2:B7">
    <cfRule type="cellIs" dxfId="178" priority="5" operator="notEqual">
      <formula>"OK"</formula>
    </cfRule>
    <cfRule type="cellIs" dxfId="177"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32"/>
  <sheetViews>
    <sheetView showGridLines="0" tabSelected="1" topLeftCell="F1" zoomScale="70" zoomScaleNormal="70" zoomScaleSheetLayoutView="55" workbookViewId="0">
      <pane ySplit="13" topLeftCell="A23" activePane="bottomLeft" state="frozen"/>
      <selection pane="bottomLeft" activeCell="I26" sqref="I2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5" customFormat="1" ht="39.950000000000003" customHeight="1" x14ac:dyDescent="0.25">
      <c r="B2" s="123" t="s">
        <v>168</v>
      </c>
      <c r="C2" s="123"/>
      <c r="D2" s="123"/>
      <c r="E2" s="123"/>
      <c r="F2" s="123"/>
      <c r="G2" s="123"/>
      <c r="H2" s="123"/>
      <c r="I2" s="123"/>
      <c r="J2" s="123"/>
      <c r="K2" s="123"/>
      <c r="L2" s="123"/>
      <c r="M2" s="123"/>
      <c r="N2" s="123"/>
      <c r="O2" s="123"/>
      <c r="P2" s="123"/>
      <c r="Q2" s="123"/>
      <c r="R2" s="123"/>
      <c r="S2" s="123"/>
      <c r="T2" s="123"/>
    </row>
    <row r="3" spans="2:20" s="25" customFormat="1" ht="8.1" customHeight="1" x14ac:dyDescent="0.25">
      <c r="B3" s="142"/>
      <c r="C3" s="143"/>
      <c r="D3" s="143"/>
      <c r="E3" s="143"/>
      <c r="F3" s="143"/>
      <c r="G3" s="143"/>
      <c r="H3" s="143"/>
      <c r="I3" s="143"/>
      <c r="J3" s="143"/>
      <c r="K3" s="143"/>
      <c r="L3" s="143"/>
      <c r="M3" s="143"/>
      <c r="N3" s="143"/>
      <c r="O3" s="143"/>
      <c r="P3" s="143"/>
      <c r="Q3" s="143"/>
      <c r="R3" s="143"/>
      <c r="S3" s="143"/>
      <c r="T3" s="144"/>
    </row>
    <row r="4" spans="2:20" s="25" customFormat="1" ht="20.100000000000001" customHeight="1" x14ac:dyDescent="0.25">
      <c r="B4" s="134"/>
      <c r="C4" s="135"/>
      <c r="D4" s="48" t="s">
        <v>186</v>
      </c>
      <c r="E4" s="48" t="s">
        <v>184</v>
      </c>
      <c r="F4" s="138"/>
      <c r="G4" s="139"/>
      <c r="H4" s="139"/>
      <c r="I4" s="139"/>
      <c r="J4" s="139"/>
      <c r="K4" s="139"/>
      <c r="L4" s="139"/>
      <c r="M4" s="139"/>
      <c r="N4" s="139"/>
      <c r="O4" s="139"/>
      <c r="P4" s="139"/>
      <c r="Q4" s="139"/>
      <c r="R4" s="139"/>
      <c r="S4" s="139"/>
      <c r="T4" s="140"/>
    </row>
    <row r="5" spans="2:20" s="25" customFormat="1" ht="20.100000000000001" customHeight="1" x14ac:dyDescent="0.25">
      <c r="B5" s="130" t="s">
        <v>133</v>
      </c>
      <c r="C5" s="131"/>
      <c r="D5" s="49">
        <f>SUM(H:H)</f>
        <v>77760</v>
      </c>
      <c r="E5" s="31">
        <f>SUMIF(T:T,"&lt;&gt;Error",F:F)</f>
        <v>720</v>
      </c>
      <c r="F5" s="138"/>
      <c r="G5" s="139"/>
      <c r="H5" s="139"/>
      <c r="I5" s="139"/>
      <c r="J5" s="139"/>
      <c r="K5" s="139"/>
      <c r="L5" s="139"/>
      <c r="M5" s="139"/>
      <c r="N5" s="139"/>
      <c r="O5" s="139"/>
      <c r="P5" s="139"/>
      <c r="Q5" s="139"/>
      <c r="R5" s="139"/>
      <c r="S5" s="139"/>
      <c r="T5" s="140"/>
    </row>
    <row r="6" spans="2:20" s="25" customFormat="1" ht="20.100000000000001" customHeight="1" x14ac:dyDescent="0.25">
      <c r="B6" s="132" t="s">
        <v>131</v>
      </c>
      <c r="C6" s="133"/>
      <c r="D6" s="49">
        <f>SUM(K:K)</f>
        <v>60660</v>
      </c>
      <c r="E6" s="31">
        <f>SUMIF(T:T,"&lt;&gt;Error",I:I)</f>
        <v>720</v>
      </c>
      <c r="F6" s="138"/>
      <c r="G6" s="139"/>
      <c r="H6" s="139"/>
      <c r="I6" s="139"/>
      <c r="J6" s="139"/>
      <c r="K6" s="139"/>
      <c r="L6" s="139"/>
      <c r="M6" s="139"/>
      <c r="N6" s="139"/>
      <c r="O6" s="139"/>
      <c r="P6" s="139"/>
      <c r="Q6" s="139"/>
      <c r="R6" s="139"/>
      <c r="S6" s="139"/>
      <c r="T6" s="140"/>
    </row>
    <row r="7" spans="2:20" s="25" customFormat="1" ht="20.100000000000001" customHeight="1" x14ac:dyDescent="0.25">
      <c r="B7" s="130" t="s">
        <v>318</v>
      </c>
      <c r="C7" s="131"/>
      <c r="D7" s="49">
        <f>SUM(N:N)</f>
        <v>114050</v>
      </c>
      <c r="E7" s="31">
        <f>SUMIF(T:T,"&lt;&gt;Error",L:L)</f>
        <v>1830</v>
      </c>
      <c r="F7" s="138"/>
      <c r="G7" s="139"/>
      <c r="H7" s="139"/>
      <c r="I7" s="139"/>
      <c r="J7" s="139"/>
      <c r="K7" s="139"/>
      <c r="L7" s="139"/>
      <c r="M7" s="139"/>
      <c r="N7" s="139"/>
      <c r="O7" s="139"/>
      <c r="P7" s="139"/>
      <c r="Q7" s="139"/>
      <c r="R7" s="139"/>
      <c r="S7" s="139"/>
      <c r="T7" s="140"/>
    </row>
    <row r="8" spans="2:20" s="25" customFormat="1" ht="20.100000000000001" customHeight="1" x14ac:dyDescent="0.25">
      <c r="B8" s="130" t="s">
        <v>317</v>
      </c>
      <c r="C8" s="131"/>
      <c r="D8" s="49">
        <f>SUM(Q:Q)</f>
        <v>0</v>
      </c>
      <c r="E8" s="31">
        <f>SUMIF(T:T,"&lt;&gt;Error",O:O)</f>
        <v>0</v>
      </c>
      <c r="F8" s="138"/>
      <c r="G8" s="139"/>
      <c r="H8" s="139"/>
      <c r="I8" s="139"/>
      <c r="J8" s="139"/>
      <c r="K8" s="139"/>
      <c r="L8" s="139"/>
      <c r="M8" s="139"/>
      <c r="N8" s="139"/>
      <c r="O8" s="139"/>
      <c r="P8" s="139"/>
      <c r="Q8" s="139"/>
      <c r="R8" s="139"/>
      <c r="S8" s="139"/>
      <c r="T8" s="140"/>
    </row>
    <row r="9" spans="2:20" s="25" customFormat="1" ht="20.100000000000001" customHeight="1" x14ac:dyDescent="0.25">
      <c r="B9" s="136"/>
      <c r="C9" s="137"/>
      <c r="D9" s="33">
        <f>SUM(D5:D8)</f>
        <v>252470</v>
      </c>
      <c r="E9" s="32">
        <f>SUM(E5:E8)</f>
        <v>3270</v>
      </c>
      <c r="F9" s="138"/>
      <c r="G9" s="139"/>
      <c r="H9" s="139"/>
      <c r="I9" s="139"/>
      <c r="J9" s="139"/>
      <c r="K9" s="139"/>
      <c r="L9" s="139"/>
      <c r="M9" s="139"/>
      <c r="N9" s="139"/>
      <c r="O9" s="139"/>
      <c r="P9" s="139"/>
      <c r="Q9" s="139"/>
      <c r="R9" s="139"/>
      <c r="S9" s="139"/>
      <c r="T9" s="140"/>
    </row>
    <row r="10" spans="2:20" s="25" customFormat="1" ht="8.1" customHeight="1" x14ac:dyDescent="0.25">
      <c r="B10" s="134"/>
      <c r="C10" s="141"/>
      <c r="D10" s="141"/>
      <c r="E10" s="141"/>
      <c r="F10" s="141"/>
      <c r="G10" s="141"/>
      <c r="H10" s="141"/>
      <c r="I10" s="141"/>
      <c r="J10" s="141"/>
      <c r="K10" s="141"/>
      <c r="L10" s="141"/>
      <c r="M10" s="141"/>
      <c r="N10" s="141"/>
      <c r="O10" s="141"/>
      <c r="P10" s="141"/>
      <c r="Q10" s="141"/>
      <c r="R10" s="141"/>
      <c r="S10" s="141"/>
      <c r="T10" s="135"/>
    </row>
    <row r="11" spans="2:20" s="53" customFormat="1" ht="23.1" customHeight="1" x14ac:dyDescent="0.25">
      <c r="B11" s="124" t="s">
        <v>164</v>
      </c>
      <c r="C11" s="124" t="s">
        <v>149</v>
      </c>
      <c r="D11" s="124" t="s">
        <v>218</v>
      </c>
      <c r="E11" s="124" t="s">
        <v>219</v>
      </c>
      <c r="F11" s="126" t="str">
        <f>'Unit Costs &amp; Funding Rule'!D7</f>
        <v>Manager</v>
      </c>
      <c r="G11" s="126"/>
      <c r="H11" s="126"/>
      <c r="I11" s="127" t="str">
        <f>'Unit Costs &amp; Funding Rule'!E7</f>
        <v>Teacher/Trainer/Researcher</v>
      </c>
      <c r="J11" s="128"/>
      <c r="K11" s="129"/>
      <c r="L11" s="126" t="str">
        <f>'Unit Costs &amp; Funding Rule'!F7</f>
        <v>Technical Staff</v>
      </c>
      <c r="M11" s="126"/>
      <c r="N11" s="126"/>
      <c r="O11" s="126" t="str">
        <f>'Unit Costs &amp; Funding Rule'!G7</f>
        <v>Administrative Staff</v>
      </c>
      <c r="P11" s="126"/>
      <c r="Q11" s="126"/>
      <c r="R11" s="124" t="s">
        <v>200</v>
      </c>
      <c r="S11" s="124" t="s">
        <v>165</v>
      </c>
      <c r="T11" s="124" t="s">
        <v>220</v>
      </c>
    </row>
    <row r="12" spans="2:20" s="53" customFormat="1" ht="42" customHeight="1" x14ac:dyDescent="0.25">
      <c r="B12" s="125"/>
      <c r="C12" s="125"/>
      <c r="D12" s="125"/>
      <c r="E12" s="125"/>
      <c r="F12" s="54" t="s">
        <v>209</v>
      </c>
      <c r="G12" s="34" t="s">
        <v>213</v>
      </c>
      <c r="H12" s="54" t="s">
        <v>166</v>
      </c>
      <c r="I12" s="54" t="s">
        <v>209</v>
      </c>
      <c r="J12" s="34" t="s">
        <v>213</v>
      </c>
      <c r="K12" s="54" t="s">
        <v>166</v>
      </c>
      <c r="L12" s="54" t="s">
        <v>209</v>
      </c>
      <c r="M12" s="34" t="s">
        <v>213</v>
      </c>
      <c r="N12" s="54" t="s">
        <v>166</v>
      </c>
      <c r="O12" s="54" t="s">
        <v>209</v>
      </c>
      <c r="P12" s="34" t="s">
        <v>213</v>
      </c>
      <c r="Q12" s="54" t="s">
        <v>166</v>
      </c>
      <c r="R12" s="125"/>
      <c r="S12" s="125"/>
      <c r="T12" s="125"/>
    </row>
    <row r="13" spans="2:20"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x14ac:dyDescent="0.25">
      <c r="B14" s="19" t="s">
        <v>175</v>
      </c>
      <c r="C14" s="24" t="s">
        <v>8</v>
      </c>
      <c r="D14" s="50" t="str">
        <f t="shared" si="0"/>
        <v>Faculty of Electrial Engineering</v>
      </c>
      <c r="E14" s="50" t="str">
        <f t="shared" si="1"/>
        <v>Serbia</v>
      </c>
      <c r="F14" s="35">
        <v>0</v>
      </c>
      <c r="G14" s="36">
        <f t="shared" si="2"/>
        <v>108</v>
      </c>
      <c r="H14" s="37">
        <f t="shared" si="3"/>
        <v>0</v>
      </c>
      <c r="I14" s="35">
        <v>100</v>
      </c>
      <c r="J14" s="36">
        <f t="shared" si="4"/>
        <v>80</v>
      </c>
      <c r="K14" s="37">
        <f t="shared" si="5"/>
        <v>8000</v>
      </c>
      <c r="L14" s="35">
        <v>0</v>
      </c>
      <c r="M14" s="36">
        <f t="shared" si="6"/>
        <v>57</v>
      </c>
      <c r="N14" s="37">
        <f t="shared" si="7"/>
        <v>0</v>
      </c>
      <c r="O14" s="35">
        <v>0</v>
      </c>
      <c r="P14" s="36">
        <f t="shared" si="8"/>
        <v>45</v>
      </c>
      <c r="Q14" s="37">
        <f t="shared" si="9"/>
        <v>0</v>
      </c>
      <c r="R14" s="38">
        <f t="shared" si="10"/>
        <v>100</v>
      </c>
      <c r="S14" s="39">
        <f t="shared" si="11"/>
        <v>8000</v>
      </c>
      <c r="T14" s="40" t="str">
        <f t="shared" si="12"/>
        <v/>
      </c>
    </row>
    <row r="15" spans="2:20" s="41" customFormat="1" x14ac:dyDescent="0.25">
      <c r="B15" s="19" t="s">
        <v>175</v>
      </c>
      <c r="C15" s="24" t="s">
        <v>9</v>
      </c>
      <c r="D15" s="50" t="str">
        <f t="shared" ref="D15:D32" si="13">IFERROR(IF(VLOOKUP(C15,PartnerN°Ref,2,FALSE)=0,"",VLOOKUP(C15,PartnerN°Ref,2,FALSE)),"")</f>
        <v>Schnieder Electric Serbia</v>
      </c>
      <c r="E15" s="50" t="str">
        <f t="shared" ref="E15:E32" si="14">IFERROR(IF(OR(VLOOKUP(C15,PartnerN°Ref,4,FALSE)="Country not found",VLOOKUP(C15,PartnerN°Ref,3,FALSE)=0),"",VLOOKUP(C15,PartnerN°Ref,3,FALSE)),"")</f>
        <v>Serbia</v>
      </c>
      <c r="F15" s="35">
        <v>0</v>
      </c>
      <c r="G15" s="36">
        <f t="shared" ref="G15:G32" si="15">IF(T15="Error",0,INDEX(Rates,MATCH(E15,CountryALL,0),MATCH($F$11,Category,0)))</f>
        <v>108</v>
      </c>
      <c r="H15" s="37">
        <f t="shared" ref="H15:H32" si="16">IFERROR(IF(T15="Error",0,ROUND(F15*G15,2)),0)</f>
        <v>0</v>
      </c>
      <c r="I15" s="35">
        <v>80</v>
      </c>
      <c r="J15" s="36">
        <f t="shared" ref="J15:J32" si="17">IF(T15="Error",0,INDEX(Rates,MATCH(E15,CountryALL,0),MATCH($I$11,Category,0)))</f>
        <v>80</v>
      </c>
      <c r="K15" s="37">
        <f t="shared" ref="K15:K32" si="18">IFERROR(IF(T15="Error",0,ROUND(I15*J15,2)),0)</f>
        <v>6400</v>
      </c>
      <c r="L15" s="35">
        <v>0</v>
      </c>
      <c r="M15" s="36">
        <f t="shared" ref="M15:M32" si="19">IF(T15="Error",0,INDEX(Rates,MATCH(E15,CountryALL,0),MATCH($L$11,Category,0)))</f>
        <v>57</v>
      </c>
      <c r="N15" s="37">
        <f t="shared" ref="N15:N32" si="20">IFERROR(IF(T15="Error",0,ROUND(L15*M15,2)),0)</f>
        <v>0</v>
      </c>
      <c r="O15" s="35">
        <v>0</v>
      </c>
      <c r="P15" s="36">
        <f t="shared" ref="P15:P32" si="21">IF(T15="Error",0,INDEX(Rates,MATCH(E15,CountryALL,0),MATCH($O$11,Category,0)))</f>
        <v>45</v>
      </c>
      <c r="Q15" s="37">
        <f t="shared" ref="Q15:Q32" si="22">IFERROR(IF(T15="Error",0,ROUND(O15*P15,2)),0)</f>
        <v>0</v>
      </c>
      <c r="R15" s="38">
        <f t="shared" ref="R15:R32" si="23">IF(T15="Error",0,F15+I15+L15+O15)</f>
        <v>80</v>
      </c>
      <c r="S15" s="39">
        <f t="shared" ref="S15:S32" si="24">IF(T15="Error",0,H15+K15+N15+Q15)</f>
        <v>6400</v>
      </c>
      <c r="T15" s="40" t="str">
        <f t="shared" ref="T15:T32"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41" customFormat="1" x14ac:dyDescent="0.25">
      <c r="B16" s="19" t="s">
        <v>175</v>
      </c>
      <c r="C16" s="24" t="s">
        <v>10</v>
      </c>
      <c r="D16" s="50" t="str">
        <f t="shared" si="13"/>
        <v>Aegis Defence Services</v>
      </c>
      <c r="E16" s="50" t="str">
        <f t="shared" si="14"/>
        <v>Hungary</v>
      </c>
      <c r="F16" s="35">
        <v>0</v>
      </c>
      <c r="G16" s="36">
        <f t="shared" si="15"/>
        <v>88</v>
      </c>
      <c r="H16" s="37">
        <f t="shared" si="16"/>
        <v>0</v>
      </c>
      <c r="I16" s="35">
        <v>80</v>
      </c>
      <c r="J16" s="36">
        <f t="shared" si="17"/>
        <v>74</v>
      </c>
      <c r="K16" s="37">
        <f t="shared" si="18"/>
        <v>5920</v>
      </c>
      <c r="L16" s="35">
        <v>0</v>
      </c>
      <c r="M16" s="36">
        <f t="shared" si="19"/>
        <v>55</v>
      </c>
      <c r="N16" s="37">
        <f t="shared" si="20"/>
        <v>0</v>
      </c>
      <c r="O16" s="35">
        <v>0</v>
      </c>
      <c r="P16" s="36">
        <f t="shared" si="21"/>
        <v>39</v>
      </c>
      <c r="Q16" s="37">
        <f t="shared" si="22"/>
        <v>0</v>
      </c>
      <c r="R16" s="38">
        <f t="shared" si="23"/>
        <v>80</v>
      </c>
      <c r="S16" s="39">
        <f t="shared" si="24"/>
        <v>5920</v>
      </c>
      <c r="T16" s="40" t="str">
        <f t="shared" si="25"/>
        <v/>
      </c>
    </row>
    <row r="17" spans="2:20" s="41" customFormat="1" x14ac:dyDescent="0.25">
      <c r="B17" s="19" t="s">
        <v>175</v>
      </c>
      <c r="C17" s="24" t="s">
        <v>11</v>
      </c>
      <c r="D17" s="50" t="str">
        <f t="shared" si="13"/>
        <v xml:space="preserve">Miele </v>
      </c>
      <c r="E17" s="50" t="str">
        <f t="shared" si="14"/>
        <v>Czech Republic</v>
      </c>
      <c r="F17" s="35">
        <v>0</v>
      </c>
      <c r="G17" s="36">
        <f t="shared" si="15"/>
        <v>164</v>
      </c>
      <c r="H17" s="37">
        <f t="shared" si="16"/>
        <v>0</v>
      </c>
      <c r="I17" s="35">
        <v>100</v>
      </c>
      <c r="J17" s="36">
        <f t="shared" si="17"/>
        <v>137</v>
      </c>
      <c r="K17" s="37">
        <f t="shared" si="18"/>
        <v>13700</v>
      </c>
      <c r="L17" s="35">
        <v>0</v>
      </c>
      <c r="M17" s="36">
        <f t="shared" si="19"/>
        <v>102</v>
      </c>
      <c r="N17" s="37">
        <f t="shared" si="20"/>
        <v>0</v>
      </c>
      <c r="O17" s="35">
        <v>0</v>
      </c>
      <c r="P17" s="36">
        <f t="shared" si="21"/>
        <v>78</v>
      </c>
      <c r="Q17" s="37">
        <f t="shared" si="22"/>
        <v>0</v>
      </c>
      <c r="R17" s="38">
        <f t="shared" si="23"/>
        <v>100</v>
      </c>
      <c r="S17" s="39">
        <f t="shared" si="24"/>
        <v>13700</v>
      </c>
      <c r="T17" s="40" t="str">
        <f t="shared" si="25"/>
        <v/>
      </c>
    </row>
    <row r="18" spans="2:20" s="41" customFormat="1" x14ac:dyDescent="0.25">
      <c r="B18" s="19" t="s">
        <v>175</v>
      </c>
      <c r="C18" s="24" t="s">
        <v>12</v>
      </c>
      <c r="D18" s="50" t="str">
        <f t="shared" si="13"/>
        <v>ETH Warsawa</v>
      </c>
      <c r="E18" s="50" t="str">
        <f t="shared" si="14"/>
        <v>Poland</v>
      </c>
      <c r="F18" s="35">
        <v>0</v>
      </c>
      <c r="G18" s="36">
        <f t="shared" si="15"/>
        <v>88</v>
      </c>
      <c r="H18" s="37">
        <f t="shared" si="16"/>
        <v>0</v>
      </c>
      <c r="I18" s="35">
        <v>100</v>
      </c>
      <c r="J18" s="36">
        <f t="shared" si="17"/>
        <v>74</v>
      </c>
      <c r="K18" s="37">
        <f t="shared" si="18"/>
        <v>7400</v>
      </c>
      <c r="L18" s="35">
        <v>0</v>
      </c>
      <c r="M18" s="36">
        <f t="shared" si="19"/>
        <v>55</v>
      </c>
      <c r="N18" s="37">
        <f t="shared" si="20"/>
        <v>0</v>
      </c>
      <c r="O18" s="35">
        <v>0</v>
      </c>
      <c r="P18" s="36">
        <f t="shared" si="21"/>
        <v>39</v>
      </c>
      <c r="Q18" s="37">
        <f t="shared" si="22"/>
        <v>0</v>
      </c>
      <c r="R18" s="38">
        <f t="shared" si="23"/>
        <v>100</v>
      </c>
      <c r="S18" s="39">
        <f t="shared" si="24"/>
        <v>7400</v>
      </c>
      <c r="T18" s="40" t="str">
        <f t="shared" si="25"/>
        <v/>
      </c>
    </row>
    <row r="19" spans="2:20" s="41" customFormat="1" x14ac:dyDescent="0.25">
      <c r="B19" s="19" t="s">
        <v>175</v>
      </c>
      <c r="C19" s="24" t="s">
        <v>13</v>
      </c>
      <c r="D19" s="50" t="str">
        <f t="shared" si="13"/>
        <v>Vinci Bukurest</v>
      </c>
      <c r="E19" s="50" t="str">
        <f t="shared" si="14"/>
        <v>Romania</v>
      </c>
      <c r="F19" s="35">
        <v>0</v>
      </c>
      <c r="G19" s="36">
        <f t="shared" si="15"/>
        <v>88</v>
      </c>
      <c r="H19" s="37">
        <f t="shared" si="16"/>
        <v>0</v>
      </c>
      <c r="I19" s="35">
        <v>260</v>
      </c>
      <c r="J19" s="36">
        <f t="shared" si="17"/>
        <v>74</v>
      </c>
      <c r="K19" s="37">
        <f t="shared" si="18"/>
        <v>19240</v>
      </c>
      <c r="L19" s="35">
        <v>0</v>
      </c>
      <c r="M19" s="36">
        <f t="shared" si="19"/>
        <v>55</v>
      </c>
      <c r="N19" s="37">
        <f t="shared" si="20"/>
        <v>0</v>
      </c>
      <c r="O19" s="35">
        <v>0</v>
      </c>
      <c r="P19" s="36">
        <f t="shared" si="21"/>
        <v>39</v>
      </c>
      <c r="Q19" s="37">
        <f t="shared" si="22"/>
        <v>0</v>
      </c>
      <c r="R19" s="38">
        <f t="shared" si="23"/>
        <v>260</v>
      </c>
      <c r="S19" s="39">
        <f t="shared" si="24"/>
        <v>19240</v>
      </c>
      <c r="T19" s="40" t="str">
        <f t="shared" si="25"/>
        <v/>
      </c>
    </row>
    <row r="20" spans="2:20" s="41" customFormat="1" x14ac:dyDescent="0.25">
      <c r="B20" s="19" t="s">
        <v>174</v>
      </c>
      <c r="C20" s="24" t="s">
        <v>8</v>
      </c>
      <c r="D20" s="50" t="str">
        <f t="shared" si="13"/>
        <v>Faculty of Electrial Engineering</v>
      </c>
      <c r="E20" s="50" t="str">
        <f t="shared" si="14"/>
        <v>Serbia</v>
      </c>
      <c r="F20" s="35">
        <v>0</v>
      </c>
      <c r="G20" s="36">
        <f t="shared" si="15"/>
        <v>108</v>
      </c>
      <c r="H20" s="37">
        <f t="shared" si="16"/>
        <v>0</v>
      </c>
      <c r="I20" s="35">
        <v>0</v>
      </c>
      <c r="J20" s="36">
        <f t="shared" si="17"/>
        <v>80</v>
      </c>
      <c r="K20" s="37">
        <f t="shared" si="18"/>
        <v>0</v>
      </c>
      <c r="L20" s="35">
        <v>90</v>
      </c>
      <c r="M20" s="36">
        <f t="shared" si="19"/>
        <v>57</v>
      </c>
      <c r="N20" s="37">
        <f t="shared" si="20"/>
        <v>5130</v>
      </c>
      <c r="O20" s="35">
        <v>0</v>
      </c>
      <c r="P20" s="36">
        <f t="shared" si="21"/>
        <v>45</v>
      </c>
      <c r="Q20" s="37">
        <f t="shared" si="22"/>
        <v>0</v>
      </c>
      <c r="R20" s="38">
        <f t="shared" si="23"/>
        <v>90</v>
      </c>
      <c r="S20" s="39">
        <f t="shared" si="24"/>
        <v>5130</v>
      </c>
      <c r="T20" s="40" t="str">
        <f t="shared" si="25"/>
        <v/>
      </c>
    </row>
    <row r="21" spans="2:20" s="41" customFormat="1" x14ac:dyDescent="0.25">
      <c r="B21" s="19" t="s">
        <v>174</v>
      </c>
      <c r="C21" s="24" t="s">
        <v>9</v>
      </c>
      <c r="D21" s="50" t="str">
        <f t="shared" si="13"/>
        <v>Schnieder Electric Serbia</v>
      </c>
      <c r="E21" s="50" t="str">
        <f t="shared" si="14"/>
        <v>Serbia</v>
      </c>
      <c r="F21" s="35">
        <v>0</v>
      </c>
      <c r="G21" s="36">
        <f t="shared" si="15"/>
        <v>108</v>
      </c>
      <c r="H21" s="37">
        <f t="shared" si="16"/>
        <v>0</v>
      </c>
      <c r="I21" s="35">
        <v>0</v>
      </c>
      <c r="J21" s="36">
        <f t="shared" si="17"/>
        <v>80</v>
      </c>
      <c r="K21" s="37">
        <f t="shared" si="18"/>
        <v>0</v>
      </c>
      <c r="L21" s="35">
        <v>140</v>
      </c>
      <c r="M21" s="36">
        <f t="shared" si="19"/>
        <v>57</v>
      </c>
      <c r="N21" s="37">
        <f t="shared" si="20"/>
        <v>7980</v>
      </c>
      <c r="O21" s="35">
        <v>0</v>
      </c>
      <c r="P21" s="36">
        <f t="shared" si="21"/>
        <v>45</v>
      </c>
      <c r="Q21" s="37">
        <f t="shared" si="22"/>
        <v>0</v>
      </c>
      <c r="R21" s="38">
        <f t="shared" si="23"/>
        <v>140</v>
      </c>
      <c r="S21" s="39">
        <f t="shared" si="24"/>
        <v>7980</v>
      </c>
      <c r="T21" s="40" t="str">
        <f t="shared" si="25"/>
        <v/>
      </c>
    </row>
    <row r="22" spans="2:20" s="41" customFormat="1" x14ac:dyDescent="0.25">
      <c r="B22" s="19" t="s">
        <v>174</v>
      </c>
      <c r="C22" s="24" t="s">
        <v>10</v>
      </c>
      <c r="D22" s="50" t="str">
        <f t="shared" si="13"/>
        <v>Aegis Defence Services</v>
      </c>
      <c r="E22" s="50" t="str">
        <f t="shared" si="14"/>
        <v>Hungary</v>
      </c>
      <c r="F22" s="35">
        <v>0</v>
      </c>
      <c r="G22" s="36">
        <f t="shared" si="15"/>
        <v>88</v>
      </c>
      <c r="H22" s="37">
        <f t="shared" si="16"/>
        <v>0</v>
      </c>
      <c r="I22" s="35">
        <v>0</v>
      </c>
      <c r="J22" s="36">
        <f t="shared" si="17"/>
        <v>74</v>
      </c>
      <c r="K22" s="37">
        <f t="shared" si="18"/>
        <v>0</v>
      </c>
      <c r="L22" s="35">
        <v>190</v>
      </c>
      <c r="M22" s="36">
        <f t="shared" si="19"/>
        <v>55</v>
      </c>
      <c r="N22" s="37">
        <f t="shared" si="20"/>
        <v>10450</v>
      </c>
      <c r="O22" s="35">
        <v>0</v>
      </c>
      <c r="P22" s="36">
        <f t="shared" si="21"/>
        <v>39</v>
      </c>
      <c r="Q22" s="37">
        <f t="shared" si="22"/>
        <v>0</v>
      </c>
      <c r="R22" s="38">
        <f t="shared" si="23"/>
        <v>190</v>
      </c>
      <c r="S22" s="39">
        <f t="shared" si="24"/>
        <v>10450</v>
      </c>
      <c r="T22" s="40" t="str">
        <f t="shared" si="25"/>
        <v/>
      </c>
    </row>
    <row r="23" spans="2:20" s="41" customFormat="1" x14ac:dyDescent="0.25">
      <c r="B23" s="19" t="s">
        <v>174</v>
      </c>
      <c r="C23" s="24" t="s">
        <v>11</v>
      </c>
      <c r="D23" s="50" t="str">
        <f t="shared" si="13"/>
        <v xml:space="preserve">Miele </v>
      </c>
      <c r="E23" s="50" t="str">
        <f t="shared" si="14"/>
        <v>Czech Republic</v>
      </c>
      <c r="F23" s="35">
        <v>0</v>
      </c>
      <c r="G23" s="36">
        <f t="shared" si="15"/>
        <v>164</v>
      </c>
      <c r="H23" s="37">
        <f t="shared" si="16"/>
        <v>0</v>
      </c>
      <c r="I23" s="35">
        <v>0</v>
      </c>
      <c r="J23" s="36">
        <f t="shared" si="17"/>
        <v>137</v>
      </c>
      <c r="K23" s="37">
        <f t="shared" si="18"/>
        <v>0</v>
      </c>
      <c r="L23" s="35">
        <v>100</v>
      </c>
      <c r="M23" s="36">
        <f t="shared" si="19"/>
        <v>102</v>
      </c>
      <c r="N23" s="37">
        <f t="shared" si="20"/>
        <v>10200</v>
      </c>
      <c r="O23" s="35">
        <v>0</v>
      </c>
      <c r="P23" s="36">
        <f t="shared" si="21"/>
        <v>78</v>
      </c>
      <c r="Q23" s="37">
        <f t="shared" si="22"/>
        <v>0</v>
      </c>
      <c r="R23" s="38">
        <f t="shared" si="23"/>
        <v>100</v>
      </c>
      <c r="S23" s="39">
        <f t="shared" si="24"/>
        <v>10200</v>
      </c>
      <c r="T23" s="40" t="str">
        <f t="shared" si="25"/>
        <v/>
      </c>
    </row>
    <row r="24" spans="2:20" s="41" customFormat="1" x14ac:dyDescent="0.25">
      <c r="B24" s="19" t="s">
        <v>174</v>
      </c>
      <c r="C24" s="24" t="s">
        <v>12</v>
      </c>
      <c r="D24" s="50" t="str">
        <f t="shared" si="13"/>
        <v>ETH Warsawa</v>
      </c>
      <c r="E24" s="50" t="str">
        <f t="shared" si="14"/>
        <v>Poland</v>
      </c>
      <c r="F24" s="35">
        <v>0</v>
      </c>
      <c r="G24" s="36">
        <f t="shared" si="15"/>
        <v>88</v>
      </c>
      <c r="H24" s="37">
        <f t="shared" si="16"/>
        <v>0</v>
      </c>
      <c r="I24" s="35">
        <v>0</v>
      </c>
      <c r="J24" s="36">
        <f t="shared" si="17"/>
        <v>74</v>
      </c>
      <c r="K24" s="37">
        <f t="shared" si="18"/>
        <v>0</v>
      </c>
      <c r="L24" s="35">
        <v>90</v>
      </c>
      <c r="M24" s="36">
        <f t="shared" si="19"/>
        <v>55</v>
      </c>
      <c r="N24" s="37">
        <f t="shared" si="20"/>
        <v>4950</v>
      </c>
      <c r="O24" s="35">
        <v>0</v>
      </c>
      <c r="P24" s="36">
        <f t="shared" si="21"/>
        <v>39</v>
      </c>
      <c r="Q24" s="37">
        <f t="shared" si="22"/>
        <v>0</v>
      </c>
      <c r="R24" s="38">
        <f t="shared" si="23"/>
        <v>90</v>
      </c>
      <c r="S24" s="39">
        <f t="shared" si="24"/>
        <v>4950</v>
      </c>
      <c r="T24" s="40" t="str">
        <f t="shared" si="25"/>
        <v/>
      </c>
    </row>
    <row r="25" spans="2:20" s="41" customFormat="1" x14ac:dyDescent="0.25">
      <c r="B25" s="19" t="s">
        <v>174</v>
      </c>
      <c r="C25" s="24" t="s">
        <v>13</v>
      </c>
      <c r="D25" s="50" t="str">
        <f t="shared" si="13"/>
        <v>Vinci Bukurest</v>
      </c>
      <c r="E25" s="50" t="str">
        <f t="shared" si="14"/>
        <v>Romania</v>
      </c>
      <c r="F25" s="35">
        <v>0</v>
      </c>
      <c r="G25" s="36">
        <f t="shared" si="15"/>
        <v>88</v>
      </c>
      <c r="H25" s="37">
        <f t="shared" si="16"/>
        <v>0</v>
      </c>
      <c r="I25" s="35">
        <v>0</v>
      </c>
      <c r="J25" s="36">
        <f t="shared" si="17"/>
        <v>74</v>
      </c>
      <c r="K25" s="37">
        <f t="shared" si="18"/>
        <v>0</v>
      </c>
      <c r="L25" s="35">
        <v>140</v>
      </c>
      <c r="M25" s="36">
        <f t="shared" si="19"/>
        <v>55</v>
      </c>
      <c r="N25" s="37">
        <f t="shared" si="20"/>
        <v>7700</v>
      </c>
      <c r="O25" s="35">
        <v>0</v>
      </c>
      <c r="P25" s="36">
        <f t="shared" si="21"/>
        <v>39</v>
      </c>
      <c r="Q25" s="37">
        <f t="shared" si="22"/>
        <v>0</v>
      </c>
      <c r="R25" s="38">
        <f t="shared" si="23"/>
        <v>140</v>
      </c>
      <c r="S25" s="39">
        <f t="shared" si="24"/>
        <v>7700</v>
      </c>
      <c r="T25" s="40" t="str">
        <f t="shared" si="25"/>
        <v/>
      </c>
    </row>
    <row r="26" spans="2:20" s="41" customFormat="1" x14ac:dyDescent="0.25">
      <c r="B26" s="19" t="s">
        <v>364</v>
      </c>
      <c r="C26" s="24" t="s">
        <v>8</v>
      </c>
      <c r="D26" s="50" t="str">
        <f t="shared" si="13"/>
        <v>Faculty of Electrial Engineering</v>
      </c>
      <c r="E26" s="50" t="str">
        <f t="shared" si="14"/>
        <v>Serbia</v>
      </c>
      <c r="F26" s="35">
        <v>0</v>
      </c>
      <c r="G26" s="36">
        <f t="shared" si="15"/>
        <v>108</v>
      </c>
      <c r="H26" s="37">
        <f t="shared" si="16"/>
        <v>0</v>
      </c>
      <c r="I26" s="35">
        <v>0</v>
      </c>
      <c r="J26" s="36">
        <f t="shared" si="17"/>
        <v>80</v>
      </c>
      <c r="K26" s="37">
        <f t="shared" si="18"/>
        <v>0</v>
      </c>
      <c r="L26" s="35">
        <v>200</v>
      </c>
      <c r="M26" s="36">
        <f t="shared" si="19"/>
        <v>57</v>
      </c>
      <c r="N26" s="37">
        <f t="shared" si="20"/>
        <v>11400</v>
      </c>
      <c r="O26" s="35">
        <v>0</v>
      </c>
      <c r="P26" s="36">
        <f t="shared" si="21"/>
        <v>45</v>
      </c>
      <c r="Q26" s="37">
        <f t="shared" si="22"/>
        <v>0</v>
      </c>
      <c r="R26" s="38">
        <f t="shared" si="23"/>
        <v>200</v>
      </c>
      <c r="S26" s="39">
        <f t="shared" si="24"/>
        <v>11400</v>
      </c>
      <c r="T26" s="40" t="str">
        <f t="shared" si="25"/>
        <v/>
      </c>
    </row>
    <row r="27" spans="2:20" s="41" customFormat="1" x14ac:dyDescent="0.25">
      <c r="B27" s="19" t="s">
        <v>322</v>
      </c>
      <c r="C27" s="24" t="s">
        <v>12</v>
      </c>
      <c r="D27" s="50" t="str">
        <f t="shared" si="13"/>
        <v>ETH Warsawa</v>
      </c>
      <c r="E27" s="50" t="str">
        <f t="shared" si="14"/>
        <v>Poland</v>
      </c>
      <c r="F27" s="35">
        <v>0</v>
      </c>
      <c r="G27" s="36">
        <f t="shared" si="15"/>
        <v>88</v>
      </c>
      <c r="H27" s="37">
        <f t="shared" si="16"/>
        <v>0</v>
      </c>
      <c r="I27" s="35">
        <v>0</v>
      </c>
      <c r="J27" s="36">
        <f t="shared" si="17"/>
        <v>74</v>
      </c>
      <c r="K27" s="37">
        <f t="shared" si="18"/>
        <v>0</v>
      </c>
      <c r="L27" s="35">
        <v>200</v>
      </c>
      <c r="M27" s="36">
        <f t="shared" si="19"/>
        <v>55</v>
      </c>
      <c r="N27" s="37">
        <f t="shared" si="20"/>
        <v>11000</v>
      </c>
      <c r="O27" s="35">
        <v>0</v>
      </c>
      <c r="P27" s="36">
        <f t="shared" si="21"/>
        <v>39</v>
      </c>
      <c r="Q27" s="37">
        <f t="shared" si="22"/>
        <v>0</v>
      </c>
      <c r="R27" s="38">
        <f t="shared" si="23"/>
        <v>200</v>
      </c>
      <c r="S27" s="39">
        <f t="shared" si="24"/>
        <v>11000</v>
      </c>
      <c r="T27" s="40" t="str">
        <f t="shared" si="25"/>
        <v/>
      </c>
    </row>
    <row r="28" spans="2:20" s="41" customFormat="1" x14ac:dyDescent="0.25">
      <c r="B28" s="19" t="s">
        <v>323</v>
      </c>
      <c r="C28" s="24" t="s">
        <v>9</v>
      </c>
      <c r="D28" s="50" t="str">
        <f t="shared" si="13"/>
        <v>Schnieder Electric Serbia</v>
      </c>
      <c r="E28" s="50" t="str">
        <f t="shared" si="14"/>
        <v>Serbia</v>
      </c>
      <c r="F28" s="35">
        <v>0</v>
      </c>
      <c r="G28" s="36">
        <f t="shared" si="15"/>
        <v>108</v>
      </c>
      <c r="H28" s="37">
        <f t="shared" si="16"/>
        <v>0</v>
      </c>
      <c r="I28" s="35">
        <v>0</v>
      </c>
      <c r="J28" s="36">
        <f t="shared" si="17"/>
        <v>80</v>
      </c>
      <c r="K28" s="37">
        <f t="shared" si="18"/>
        <v>0</v>
      </c>
      <c r="L28" s="35">
        <v>160</v>
      </c>
      <c r="M28" s="36">
        <f t="shared" si="19"/>
        <v>57</v>
      </c>
      <c r="N28" s="37">
        <f t="shared" si="20"/>
        <v>9120</v>
      </c>
      <c r="O28" s="35">
        <v>0</v>
      </c>
      <c r="P28" s="36">
        <f t="shared" si="21"/>
        <v>45</v>
      </c>
      <c r="Q28" s="37">
        <f t="shared" si="22"/>
        <v>0</v>
      </c>
      <c r="R28" s="38">
        <f t="shared" si="23"/>
        <v>160</v>
      </c>
      <c r="S28" s="39">
        <f t="shared" si="24"/>
        <v>9120</v>
      </c>
      <c r="T28" s="40" t="str">
        <f t="shared" si="25"/>
        <v/>
      </c>
    </row>
    <row r="29" spans="2:20" s="41" customFormat="1" x14ac:dyDescent="0.25">
      <c r="B29" s="19" t="s">
        <v>323</v>
      </c>
      <c r="C29" s="24" t="s">
        <v>10</v>
      </c>
      <c r="D29" s="50" t="str">
        <f t="shared" si="13"/>
        <v>Aegis Defence Services</v>
      </c>
      <c r="E29" s="50" t="str">
        <f t="shared" si="14"/>
        <v>Hungary</v>
      </c>
      <c r="F29" s="35">
        <v>0</v>
      </c>
      <c r="G29" s="36">
        <f t="shared" si="15"/>
        <v>88</v>
      </c>
      <c r="H29" s="37">
        <f t="shared" si="16"/>
        <v>0</v>
      </c>
      <c r="I29" s="35">
        <v>0</v>
      </c>
      <c r="J29" s="36">
        <f t="shared" si="17"/>
        <v>74</v>
      </c>
      <c r="K29" s="37">
        <f t="shared" si="18"/>
        <v>0</v>
      </c>
      <c r="L29" s="35">
        <v>200</v>
      </c>
      <c r="M29" s="36">
        <f t="shared" si="19"/>
        <v>55</v>
      </c>
      <c r="N29" s="37">
        <f t="shared" si="20"/>
        <v>11000</v>
      </c>
      <c r="O29" s="35">
        <v>0</v>
      </c>
      <c r="P29" s="36">
        <f t="shared" si="21"/>
        <v>39</v>
      </c>
      <c r="Q29" s="37">
        <f t="shared" si="22"/>
        <v>0</v>
      </c>
      <c r="R29" s="38">
        <f t="shared" si="23"/>
        <v>200</v>
      </c>
      <c r="S29" s="39">
        <f t="shared" si="24"/>
        <v>11000</v>
      </c>
      <c r="T29" s="40" t="str">
        <f t="shared" si="25"/>
        <v/>
      </c>
    </row>
    <row r="30" spans="2:20" s="41" customFormat="1" x14ac:dyDescent="0.25">
      <c r="B30" s="19" t="s">
        <v>323</v>
      </c>
      <c r="C30" s="24" t="s">
        <v>11</v>
      </c>
      <c r="D30" s="50" t="str">
        <f t="shared" si="13"/>
        <v xml:space="preserve">Miele </v>
      </c>
      <c r="E30" s="50" t="str">
        <f t="shared" si="14"/>
        <v>Czech Republic</v>
      </c>
      <c r="F30" s="35">
        <v>0</v>
      </c>
      <c r="G30" s="36">
        <f t="shared" si="15"/>
        <v>164</v>
      </c>
      <c r="H30" s="37">
        <f t="shared" si="16"/>
        <v>0</v>
      </c>
      <c r="I30" s="35">
        <v>0</v>
      </c>
      <c r="J30" s="36">
        <f t="shared" si="17"/>
        <v>137</v>
      </c>
      <c r="K30" s="37">
        <f t="shared" si="18"/>
        <v>0</v>
      </c>
      <c r="L30" s="35">
        <v>160</v>
      </c>
      <c r="M30" s="36">
        <f t="shared" si="19"/>
        <v>102</v>
      </c>
      <c r="N30" s="37">
        <f t="shared" si="20"/>
        <v>16320</v>
      </c>
      <c r="O30" s="35">
        <v>0</v>
      </c>
      <c r="P30" s="36">
        <f t="shared" si="21"/>
        <v>78</v>
      </c>
      <c r="Q30" s="37">
        <f t="shared" si="22"/>
        <v>0</v>
      </c>
      <c r="R30" s="38">
        <f t="shared" si="23"/>
        <v>160</v>
      </c>
      <c r="S30" s="39">
        <f t="shared" si="24"/>
        <v>16320</v>
      </c>
      <c r="T30" s="40" t="str">
        <f t="shared" si="25"/>
        <v/>
      </c>
    </row>
    <row r="31" spans="2:20" s="41" customFormat="1" x14ac:dyDescent="0.25">
      <c r="B31" s="19" t="s">
        <v>323</v>
      </c>
      <c r="C31" s="24" t="s">
        <v>12</v>
      </c>
      <c r="D31" s="50" t="str">
        <f t="shared" si="13"/>
        <v>ETH Warsawa</v>
      </c>
      <c r="E31" s="50" t="str">
        <f t="shared" si="14"/>
        <v>Poland</v>
      </c>
      <c r="F31" s="35">
        <v>0</v>
      </c>
      <c r="G31" s="36">
        <f t="shared" si="15"/>
        <v>88</v>
      </c>
      <c r="H31" s="37">
        <f t="shared" si="16"/>
        <v>0</v>
      </c>
      <c r="I31" s="35">
        <v>0</v>
      </c>
      <c r="J31" s="36">
        <f t="shared" si="17"/>
        <v>74</v>
      </c>
      <c r="K31" s="37">
        <f t="shared" si="18"/>
        <v>0</v>
      </c>
      <c r="L31" s="35">
        <v>160</v>
      </c>
      <c r="M31" s="36">
        <f t="shared" si="19"/>
        <v>55</v>
      </c>
      <c r="N31" s="37">
        <f t="shared" si="20"/>
        <v>8800</v>
      </c>
      <c r="O31" s="35">
        <v>0</v>
      </c>
      <c r="P31" s="36">
        <f t="shared" si="21"/>
        <v>39</v>
      </c>
      <c r="Q31" s="37">
        <f t="shared" si="22"/>
        <v>0</v>
      </c>
      <c r="R31" s="38">
        <f t="shared" si="23"/>
        <v>160</v>
      </c>
      <c r="S31" s="39">
        <f t="shared" si="24"/>
        <v>8800</v>
      </c>
      <c r="T31" s="40" t="str">
        <f t="shared" si="25"/>
        <v/>
      </c>
    </row>
    <row r="32" spans="2:20" s="41" customFormat="1" x14ac:dyDescent="0.25">
      <c r="B32" s="19" t="s">
        <v>176</v>
      </c>
      <c r="C32" s="24" t="s">
        <v>8</v>
      </c>
      <c r="D32" s="50" t="str">
        <f t="shared" si="13"/>
        <v>Faculty of Electrial Engineering</v>
      </c>
      <c r="E32" s="50" t="str">
        <f t="shared" si="14"/>
        <v>Serbia</v>
      </c>
      <c r="F32" s="35">
        <v>720</v>
      </c>
      <c r="G32" s="36">
        <f t="shared" si="15"/>
        <v>108</v>
      </c>
      <c r="H32" s="37">
        <f t="shared" si="16"/>
        <v>77760</v>
      </c>
      <c r="I32" s="35">
        <v>0</v>
      </c>
      <c r="J32" s="36">
        <f t="shared" si="17"/>
        <v>80</v>
      </c>
      <c r="K32" s="37">
        <f t="shared" si="18"/>
        <v>0</v>
      </c>
      <c r="L32" s="35">
        <v>0</v>
      </c>
      <c r="M32" s="36">
        <f t="shared" si="19"/>
        <v>57</v>
      </c>
      <c r="N32" s="37">
        <f t="shared" si="20"/>
        <v>0</v>
      </c>
      <c r="O32" s="35">
        <v>0</v>
      </c>
      <c r="P32" s="36">
        <f t="shared" si="21"/>
        <v>45</v>
      </c>
      <c r="Q32" s="37">
        <f t="shared" si="22"/>
        <v>0</v>
      </c>
      <c r="R32" s="38">
        <f t="shared" si="23"/>
        <v>720</v>
      </c>
      <c r="S32" s="39">
        <f t="shared" si="24"/>
        <v>77760</v>
      </c>
      <c r="T32" s="40" t="str">
        <f t="shared" si="25"/>
        <v/>
      </c>
    </row>
  </sheetData>
  <sheetProtection password="E359"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176" priority="1031" operator="containsText" text="Error">
      <formula>NOT(ISERROR(SEARCH("Error",T13)))</formula>
    </cfRule>
  </conditionalFormatting>
  <conditionalFormatting sqref="D13:E14">
    <cfRule type="containsBlanks" dxfId="175" priority="1027">
      <formula>LEN(TRIM(D13))=0</formula>
    </cfRule>
  </conditionalFormatting>
  <conditionalFormatting sqref="F14 I14 L14 O14">
    <cfRule type="expression" dxfId="174" priority="398">
      <formula>ISNUMBER(F14)=FALSE</formula>
    </cfRule>
  </conditionalFormatting>
  <conditionalFormatting sqref="F13 I13 L13 O13">
    <cfRule type="expression" dxfId="173" priority="397">
      <formula>ISNUMBER(F13)=FALSE</formula>
    </cfRule>
  </conditionalFormatting>
  <conditionalFormatting sqref="B13:C13">
    <cfRule type="containsBlanks" dxfId="172" priority="390">
      <formula>LEN(TRIM(B13))=0</formula>
    </cfRule>
  </conditionalFormatting>
  <conditionalFormatting sqref="B14:C14">
    <cfRule type="containsBlanks" dxfId="171" priority="389">
      <formula>LEN(TRIM(B14))=0</formula>
    </cfRule>
  </conditionalFormatting>
  <conditionalFormatting sqref="T15">
    <cfRule type="containsText" dxfId="170" priority="104" operator="containsText" text="Error">
      <formula>NOT(ISERROR(SEARCH("Error",T15)))</formula>
    </cfRule>
  </conditionalFormatting>
  <conditionalFormatting sqref="D15:E15">
    <cfRule type="containsBlanks" dxfId="169" priority="103">
      <formula>LEN(TRIM(D15))=0</formula>
    </cfRule>
  </conditionalFormatting>
  <conditionalFormatting sqref="F15 I15 L15 O15">
    <cfRule type="expression" dxfId="168" priority="102">
      <formula>ISNUMBER(F15)=FALSE</formula>
    </cfRule>
  </conditionalFormatting>
  <conditionalFormatting sqref="B15:C15">
    <cfRule type="containsBlanks" dxfId="167" priority="101">
      <formula>LEN(TRIM(B15))=0</formula>
    </cfRule>
  </conditionalFormatting>
  <conditionalFormatting sqref="T16">
    <cfRule type="containsText" dxfId="166" priority="100" operator="containsText" text="Error">
      <formula>NOT(ISERROR(SEARCH("Error",T16)))</formula>
    </cfRule>
  </conditionalFormatting>
  <conditionalFormatting sqref="D16:E16">
    <cfRule type="containsBlanks" dxfId="165" priority="99">
      <formula>LEN(TRIM(D16))=0</formula>
    </cfRule>
  </conditionalFormatting>
  <conditionalFormatting sqref="F16 I16 L16 O16">
    <cfRule type="expression" dxfId="164" priority="98">
      <formula>ISNUMBER(F16)=FALSE</formula>
    </cfRule>
  </conditionalFormatting>
  <conditionalFormatting sqref="B16:C16">
    <cfRule type="containsBlanks" dxfId="163" priority="97">
      <formula>LEN(TRIM(B16))=0</formula>
    </cfRule>
  </conditionalFormatting>
  <conditionalFormatting sqref="T17">
    <cfRule type="containsText" dxfId="162" priority="96" operator="containsText" text="Error">
      <formula>NOT(ISERROR(SEARCH("Error",T17)))</formula>
    </cfRule>
  </conditionalFormatting>
  <conditionalFormatting sqref="D17:E17">
    <cfRule type="containsBlanks" dxfId="161" priority="95">
      <formula>LEN(TRIM(D17))=0</formula>
    </cfRule>
  </conditionalFormatting>
  <conditionalFormatting sqref="F17 I17 L17 O17">
    <cfRule type="expression" dxfId="160" priority="94">
      <formula>ISNUMBER(F17)=FALSE</formula>
    </cfRule>
  </conditionalFormatting>
  <conditionalFormatting sqref="B17:C17">
    <cfRule type="containsBlanks" dxfId="159" priority="93">
      <formula>LEN(TRIM(B17))=0</formula>
    </cfRule>
  </conditionalFormatting>
  <conditionalFormatting sqref="T18">
    <cfRule type="containsText" dxfId="158" priority="92" operator="containsText" text="Error">
      <formula>NOT(ISERROR(SEARCH("Error",T18)))</formula>
    </cfRule>
  </conditionalFormatting>
  <conditionalFormatting sqref="D18:E18">
    <cfRule type="containsBlanks" dxfId="157" priority="91">
      <formula>LEN(TRIM(D18))=0</formula>
    </cfRule>
  </conditionalFormatting>
  <conditionalFormatting sqref="F18 I18 L18 O18">
    <cfRule type="expression" dxfId="156" priority="90">
      <formula>ISNUMBER(F18)=FALSE</formula>
    </cfRule>
  </conditionalFormatting>
  <conditionalFormatting sqref="B18:C18">
    <cfRule type="containsBlanks" dxfId="155" priority="89">
      <formula>LEN(TRIM(B18))=0</formula>
    </cfRule>
  </conditionalFormatting>
  <conditionalFormatting sqref="T19">
    <cfRule type="containsText" dxfId="154" priority="88" operator="containsText" text="Error">
      <formula>NOT(ISERROR(SEARCH("Error",T19)))</formula>
    </cfRule>
  </conditionalFormatting>
  <conditionalFormatting sqref="D19:E19">
    <cfRule type="containsBlanks" dxfId="153" priority="87">
      <formula>LEN(TRIM(D19))=0</formula>
    </cfRule>
  </conditionalFormatting>
  <conditionalFormatting sqref="F19 I19 L19 O19">
    <cfRule type="expression" dxfId="152" priority="86">
      <formula>ISNUMBER(F19)=FALSE</formula>
    </cfRule>
  </conditionalFormatting>
  <conditionalFormatting sqref="B19:C19">
    <cfRule type="containsBlanks" dxfId="151" priority="85">
      <formula>LEN(TRIM(B19))=0</formula>
    </cfRule>
  </conditionalFormatting>
  <conditionalFormatting sqref="T20">
    <cfRule type="containsText" dxfId="150" priority="84" operator="containsText" text="Error">
      <formula>NOT(ISERROR(SEARCH("Error",T20)))</formula>
    </cfRule>
  </conditionalFormatting>
  <conditionalFormatting sqref="D20:E20">
    <cfRule type="containsBlanks" dxfId="149" priority="83">
      <formula>LEN(TRIM(D20))=0</formula>
    </cfRule>
  </conditionalFormatting>
  <conditionalFormatting sqref="F20 I20 L20 O20">
    <cfRule type="expression" dxfId="148" priority="82">
      <formula>ISNUMBER(F20)=FALSE</formula>
    </cfRule>
  </conditionalFormatting>
  <conditionalFormatting sqref="B20:C20">
    <cfRule type="containsBlanks" dxfId="147" priority="81">
      <formula>LEN(TRIM(B20))=0</formula>
    </cfRule>
  </conditionalFormatting>
  <conditionalFormatting sqref="T21">
    <cfRule type="containsText" dxfId="146" priority="80" operator="containsText" text="Error">
      <formula>NOT(ISERROR(SEARCH("Error",T21)))</formula>
    </cfRule>
  </conditionalFormatting>
  <conditionalFormatting sqref="D21:E21">
    <cfRule type="containsBlanks" dxfId="145" priority="79">
      <formula>LEN(TRIM(D21))=0</formula>
    </cfRule>
  </conditionalFormatting>
  <conditionalFormatting sqref="F21 I21 L21 O21">
    <cfRule type="expression" dxfId="144" priority="78">
      <formula>ISNUMBER(F21)=FALSE</formula>
    </cfRule>
  </conditionalFormatting>
  <conditionalFormatting sqref="B21:C21">
    <cfRule type="containsBlanks" dxfId="143" priority="77">
      <formula>LEN(TRIM(B21))=0</formula>
    </cfRule>
  </conditionalFormatting>
  <conditionalFormatting sqref="T22">
    <cfRule type="containsText" dxfId="142" priority="76" operator="containsText" text="Error">
      <formula>NOT(ISERROR(SEARCH("Error",T22)))</formula>
    </cfRule>
  </conditionalFormatting>
  <conditionalFormatting sqref="D22:E22">
    <cfRule type="containsBlanks" dxfId="141" priority="75">
      <formula>LEN(TRIM(D22))=0</formula>
    </cfRule>
  </conditionalFormatting>
  <conditionalFormatting sqref="F22 I22 L22 O22">
    <cfRule type="expression" dxfId="140" priority="74">
      <formula>ISNUMBER(F22)=FALSE</formula>
    </cfRule>
  </conditionalFormatting>
  <conditionalFormatting sqref="B22:C22">
    <cfRule type="containsBlanks" dxfId="139" priority="73">
      <formula>LEN(TRIM(B22))=0</formula>
    </cfRule>
  </conditionalFormatting>
  <conditionalFormatting sqref="T23">
    <cfRule type="containsText" dxfId="138" priority="72" operator="containsText" text="Error">
      <formula>NOT(ISERROR(SEARCH("Error",T23)))</formula>
    </cfRule>
  </conditionalFormatting>
  <conditionalFormatting sqref="D23:E23">
    <cfRule type="containsBlanks" dxfId="137" priority="71">
      <formula>LEN(TRIM(D23))=0</formula>
    </cfRule>
  </conditionalFormatting>
  <conditionalFormatting sqref="F23 I23 L23 O23">
    <cfRule type="expression" dxfId="136" priority="70">
      <formula>ISNUMBER(F23)=FALSE</formula>
    </cfRule>
  </conditionalFormatting>
  <conditionalFormatting sqref="B23:C23">
    <cfRule type="containsBlanks" dxfId="135" priority="69">
      <formula>LEN(TRIM(B23))=0</formula>
    </cfRule>
  </conditionalFormatting>
  <conditionalFormatting sqref="T26">
    <cfRule type="containsText" dxfId="134" priority="68" operator="containsText" text="Error">
      <formula>NOT(ISERROR(SEARCH("Error",T26)))</formula>
    </cfRule>
  </conditionalFormatting>
  <conditionalFormatting sqref="D26:E26">
    <cfRule type="containsBlanks" dxfId="133" priority="67">
      <formula>LEN(TRIM(D26))=0</formula>
    </cfRule>
  </conditionalFormatting>
  <conditionalFormatting sqref="F26 I26 L26 O26">
    <cfRule type="expression" dxfId="132" priority="66">
      <formula>ISNUMBER(F26)=FALSE</formula>
    </cfRule>
  </conditionalFormatting>
  <conditionalFormatting sqref="B26:C26">
    <cfRule type="containsBlanks" dxfId="131" priority="65">
      <formula>LEN(TRIM(B26))=0</formula>
    </cfRule>
  </conditionalFormatting>
  <conditionalFormatting sqref="T28">
    <cfRule type="containsText" dxfId="130" priority="64" operator="containsText" text="Error">
      <formula>NOT(ISERROR(SEARCH("Error",T28)))</formula>
    </cfRule>
  </conditionalFormatting>
  <conditionalFormatting sqref="D28:E28">
    <cfRule type="containsBlanks" dxfId="129" priority="63">
      <formula>LEN(TRIM(D28))=0</formula>
    </cfRule>
  </conditionalFormatting>
  <conditionalFormatting sqref="F28 I28 L28 O28">
    <cfRule type="expression" dxfId="128" priority="62">
      <formula>ISNUMBER(F28)=FALSE</formula>
    </cfRule>
  </conditionalFormatting>
  <conditionalFormatting sqref="B28:C28">
    <cfRule type="containsBlanks" dxfId="127" priority="61">
      <formula>LEN(TRIM(B28))=0</formula>
    </cfRule>
  </conditionalFormatting>
  <conditionalFormatting sqref="T32">
    <cfRule type="containsText" dxfId="126" priority="60" operator="containsText" text="Error">
      <formula>NOT(ISERROR(SEARCH("Error",T32)))</formula>
    </cfRule>
  </conditionalFormatting>
  <conditionalFormatting sqref="D32:E32">
    <cfRule type="containsBlanks" dxfId="125" priority="59">
      <formula>LEN(TRIM(D32))=0</formula>
    </cfRule>
  </conditionalFormatting>
  <conditionalFormatting sqref="F32 I32 L32 O32">
    <cfRule type="expression" dxfId="124" priority="58">
      <formula>ISNUMBER(F32)=FALSE</formula>
    </cfRule>
  </conditionalFormatting>
  <conditionalFormatting sqref="B32:C32">
    <cfRule type="containsBlanks" dxfId="123" priority="57">
      <formula>LEN(TRIM(B32))=0</formula>
    </cfRule>
  </conditionalFormatting>
  <conditionalFormatting sqref="T24">
    <cfRule type="containsText" dxfId="122" priority="24" operator="containsText" text="Error">
      <formula>NOT(ISERROR(SEARCH("Error",T24)))</formula>
    </cfRule>
  </conditionalFormatting>
  <conditionalFormatting sqref="D24:E24">
    <cfRule type="containsBlanks" dxfId="121" priority="23">
      <formula>LEN(TRIM(D24))=0</formula>
    </cfRule>
  </conditionalFormatting>
  <conditionalFormatting sqref="F24 I24 L24 O24">
    <cfRule type="expression" dxfId="120" priority="22">
      <formula>ISNUMBER(F24)=FALSE</formula>
    </cfRule>
  </conditionalFormatting>
  <conditionalFormatting sqref="B24:C24">
    <cfRule type="containsBlanks" dxfId="119" priority="21">
      <formula>LEN(TRIM(B24))=0</formula>
    </cfRule>
  </conditionalFormatting>
  <conditionalFormatting sqref="T25">
    <cfRule type="containsText" dxfId="118" priority="20" operator="containsText" text="Error">
      <formula>NOT(ISERROR(SEARCH("Error",T25)))</formula>
    </cfRule>
  </conditionalFormatting>
  <conditionalFormatting sqref="D25:E25">
    <cfRule type="containsBlanks" dxfId="117" priority="19">
      <formula>LEN(TRIM(D25))=0</formula>
    </cfRule>
  </conditionalFormatting>
  <conditionalFormatting sqref="F25 I25 L25 O25">
    <cfRule type="expression" dxfId="116" priority="18">
      <formula>ISNUMBER(F25)=FALSE</formula>
    </cfRule>
  </conditionalFormatting>
  <conditionalFormatting sqref="B25:C25">
    <cfRule type="containsBlanks" dxfId="115" priority="17">
      <formula>LEN(TRIM(B25))=0</formula>
    </cfRule>
  </conditionalFormatting>
  <conditionalFormatting sqref="T27">
    <cfRule type="containsText" dxfId="114" priority="16" operator="containsText" text="Error">
      <formula>NOT(ISERROR(SEARCH("Error",T27)))</formula>
    </cfRule>
  </conditionalFormatting>
  <conditionalFormatting sqref="D27:E27">
    <cfRule type="containsBlanks" dxfId="113" priority="15">
      <formula>LEN(TRIM(D27))=0</formula>
    </cfRule>
  </conditionalFormatting>
  <conditionalFormatting sqref="F27 I27 L27 O27">
    <cfRule type="expression" dxfId="112" priority="14">
      <formula>ISNUMBER(F27)=FALSE</formula>
    </cfRule>
  </conditionalFormatting>
  <conditionalFormatting sqref="B27:C27">
    <cfRule type="containsBlanks" dxfId="111" priority="13">
      <formula>LEN(TRIM(B27))=0</formula>
    </cfRule>
  </conditionalFormatting>
  <conditionalFormatting sqref="T29">
    <cfRule type="containsText" dxfId="110" priority="12" operator="containsText" text="Error">
      <formula>NOT(ISERROR(SEARCH("Error",T29)))</formula>
    </cfRule>
  </conditionalFormatting>
  <conditionalFormatting sqref="D29:E29">
    <cfRule type="containsBlanks" dxfId="109" priority="11">
      <formula>LEN(TRIM(D29))=0</formula>
    </cfRule>
  </conditionalFormatting>
  <conditionalFormatting sqref="F29 I29 L29 O29">
    <cfRule type="expression" dxfId="108" priority="10">
      <formula>ISNUMBER(F29)=FALSE</formula>
    </cfRule>
  </conditionalFormatting>
  <conditionalFormatting sqref="B29:C29">
    <cfRule type="containsBlanks" dxfId="107" priority="9">
      <formula>LEN(TRIM(B29))=0</formula>
    </cfRule>
  </conditionalFormatting>
  <conditionalFormatting sqref="T30">
    <cfRule type="containsText" dxfId="106" priority="8" operator="containsText" text="Error">
      <formula>NOT(ISERROR(SEARCH("Error",T30)))</formula>
    </cfRule>
  </conditionalFormatting>
  <conditionalFormatting sqref="D30:E30">
    <cfRule type="containsBlanks" dxfId="105" priority="7">
      <formula>LEN(TRIM(D30))=0</formula>
    </cfRule>
  </conditionalFormatting>
  <conditionalFormatting sqref="F30 I30 L30 O30">
    <cfRule type="expression" dxfId="104" priority="6">
      <formula>ISNUMBER(F30)=FALSE</formula>
    </cfRule>
  </conditionalFormatting>
  <conditionalFormatting sqref="B30:C30">
    <cfRule type="containsBlanks" dxfId="103" priority="5">
      <formula>LEN(TRIM(B30))=0</formula>
    </cfRule>
  </conditionalFormatting>
  <conditionalFormatting sqref="T31">
    <cfRule type="containsText" dxfId="102" priority="4" operator="containsText" text="Error">
      <formula>NOT(ISERROR(SEARCH("Error",T31)))</formula>
    </cfRule>
  </conditionalFormatting>
  <conditionalFormatting sqref="D31:E31">
    <cfRule type="containsBlanks" dxfId="101" priority="3">
      <formula>LEN(TRIM(D31))=0</formula>
    </cfRule>
  </conditionalFormatting>
  <conditionalFormatting sqref="F31 I31 L31 O31">
    <cfRule type="expression" dxfId="100" priority="2">
      <formula>ISNUMBER(F31)=FALSE</formula>
    </cfRule>
  </conditionalFormatting>
  <conditionalFormatting sqref="B31:C31">
    <cfRule type="containsBlanks" dxfId="99" priority="1">
      <formula>LEN(TRIM(B31))=0</formula>
    </cfRule>
  </conditionalFormatting>
  <dataValidations xWindow="289" yWindow="475" count="4">
    <dataValidation allowBlank="1" showInputMessage="1" errorTitle="Warning: Max Ceilings exceeded" error="Please be aware that this exceed the &quot;Ceilings&quot; for the maximum amounts for staff cost by country" sqref="G13:G32 P13:P32 J13:J32 M13:M32"/>
    <dataValidation type="custom" allowBlank="1" showInputMessage="1" showErrorMessage="1" error="Format error (1 decimal only)" prompt="Please encode number of days - 1 decimal only" sqref="L13:L32 O13:O32 I13:I32 F13:F32">
      <formula1>F13=INT(F13*10)/10</formula1>
    </dataValidation>
    <dataValidation type="list" allowBlank="1" showInputMessage="1" showErrorMessage="1" error="Click arrow to select Work Package" prompt="Click arrow to select Work Package" sqref="B13:B32">
      <formula1>WorkPackage</formula1>
    </dataValidation>
    <dataValidation type="list" allowBlank="1" showInputMessage="1" showErrorMessage="1" error="Click arrow to select Partner N°" prompt="Click arrow to select Partner N°" sqref="C13:C32">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O15"/>
  <sheetViews>
    <sheetView showGridLines="0" zoomScale="70" zoomScaleNormal="70" zoomScaleSheetLayoutView="55" workbookViewId="0">
      <pane ySplit="13" topLeftCell="A14" activePane="bottomLeft" state="frozen"/>
      <selection pane="bottomLeft" activeCell="K15" sqref="K15"/>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3.28515625" style="1" customWidth="1"/>
    <col min="12" max="14" width="20.7109375" style="1" customWidth="1"/>
    <col min="15" max="15" width="11.7109375" style="1" bestFit="1" customWidth="1"/>
    <col min="16" max="16" width="1.7109375" style="1" customWidth="1"/>
    <col min="17" max="16384" width="9.140625" style="1"/>
  </cols>
  <sheetData>
    <row r="1" spans="2:15" ht="8.1" customHeight="1" x14ac:dyDescent="0.25"/>
    <row r="2" spans="2:15" s="25" customFormat="1" ht="39.950000000000003" customHeight="1" x14ac:dyDescent="0.25">
      <c r="B2" s="162" t="s">
        <v>185</v>
      </c>
      <c r="C2" s="162"/>
      <c r="D2" s="162"/>
      <c r="E2" s="162"/>
      <c r="F2" s="162"/>
      <c r="G2" s="162"/>
      <c r="H2" s="162"/>
      <c r="I2" s="162"/>
      <c r="J2" s="162"/>
      <c r="K2" s="162"/>
      <c r="L2" s="162"/>
      <c r="M2" s="162"/>
      <c r="N2" s="162"/>
      <c r="O2" s="162"/>
    </row>
    <row r="3" spans="2:15" s="25" customFormat="1" ht="8.1" customHeight="1" x14ac:dyDescent="0.25">
      <c r="B3" s="142"/>
      <c r="C3" s="143"/>
      <c r="D3" s="143"/>
      <c r="E3" s="143"/>
      <c r="F3" s="143"/>
      <c r="G3" s="143"/>
      <c r="H3" s="143"/>
      <c r="I3" s="143"/>
      <c r="J3" s="143"/>
      <c r="K3" s="143"/>
      <c r="L3" s="143"/>
      <c r="M3" s="143"/>
      <c r="N3" s="143"/>
      <c r="O3" s="144"/>
    </row>
    <row r="4" spans="2:15" s="25" customFormat="1" ht="20.100000000000001" customHeight="1" x14ac:dyDescent="0.25">
      <c r="B4" s="152" t="s">
        <v>306</v>
      </c>
      <c r="C4" s="153"/>
      <c r="D4" s="60">
        <f>SUMIF(G:G,"Student",L:L)</f>
        <v>0</v>
      </c>
      <c r="E4" s="150">
        <f>D4+D5</f>
        <v>0</v>
      </c>
      <c r="F4" s="170">
        <f>SUMIFS(H:H,G:G,"Student",O:O,"&lt;&gt;Error")</f>
        <v>0</v>
      </c>
      <c r="G4" s="58"/>
      <c r="H4" s="156" t="s">
        <v>347</v>
      </c>
      <c r="I4" s="157"/>
      <c r="J4" s="91"/>
      <c r="K4" s="158" t="str">
        <f>IF(AND(D8=0,J4&gt;0),"EXCEEDING 80% OF TOTAL TRAVEL COSTS",IFERROR(IF(J4/D8&gt;0.8,"EXCEEDING 80% OF TOTAL TRAVEL COSTS",""),""))</f>
        <v/>
      </c>
      <c r="L4" s="159"/>
      <c r="M4" s="159"/>
      <c r="N4" s="159"/>
      <c r="O4" s="92"/>
    </row>
    <row r="5" spans="2:15" s="25" customFormat="1" ht="20.100000000000001" customHeight="1" x14ac:dyDescent="0.25">
      <c r="B5" s="154" t="s">
        <v>307</v>
      </c>
      <c r="C5" s="155"/>
      <c r="D5" s="61">
        <f>SUMIF(G:G,"Student",M:M)</f>
        <v>0</v>
      </c>
      <c r="E5" s="151"/>
      <c r="F5" s="171"/>
      <c r="G5" s="58"/>
      <c r="H5" s="59"/>
      <c r="I5" s="59"/>
      <c r="J5" s="59"/>
      <c r="K5" s="59"/>
      <c r="L5" s="59"/>
      <c r="M5" s="59"/>
      <c r="N5" s="59"/>
      <c r="O5" s="92"/>
    </row>
    <row r="6" spans="2:15" s="25" customFormat="1" ht="20.100000000000001" customHeight="1" x14ac:dyDescent="0.25">
      <c r="B6" s="152" t="s">
        <v>308</v>
      </c>
      <c r="C6" s="153"/>
      <c r="D6" s="60">
        <f>SUMIF(G:G,"Staff",L:L)</f>
        <v>65600</v>
      </c>
      <c r="E6" s="148">
        <f>D6+D7</f>
        <v>289600</v>
      </c>
      <c r="F6" s="168">
        <f>SUMIFS(H:H,G:G,"Staff",O:O,"&lt;&gt;Error")</f>
        <v>80</v>
      </c>
      <c r="G6" s="58"/>
      <c r="H6" s="145" t="s">
        <v>349</v>
      </c>
      <c r="I6" s="145"/>
      <c r="J6" s="145"/>
      <c r="K6" s="59"/>
      <c r="L6" s="59"/>
      <c r="M6" s="59"/>
      <c r="N6" s="59"/>
      <c r="O6" s="92"/>
    </row>
    <row r="7" spans="2:15" s="25" customFormat="1" ht="20.100000000000001" customHeight="1" x14ac:dyDescent="0.25">
      <c r="B7" s="154" t="s">
        <v>309</v>
      </c>
      <c r="C7" s="155"/>
      <c r="D7" s="61">
        <f>SUMIF(G:G,"Staff",M:M)</f>
        <v>224000</v>
      </c>
      <c r="E7" s="149"/>
      <c r="F7" s="169"/>
      <c r="G7" s="58"/>
      <c r="H7" s="161" t="s">
        <v>348</v>
      </c>
      <c r="I7" s="161"/>
      <c r="J7" s="161"/>
      <c r="K7" s="59"/>
      <c r="L7" s="59"/>
      <c r="M7" s="59"/>
      <c r="N7" s="59"/>
      <c r="O7" s="92"/>
    </row>
    <row r="8" spans="2:15" s="25" customFormat="1" ht="20.100000000000001" customHeight="1" x14ac:dyDescent="0.25">
      <c r="B8" s="152" t="s">
        <v>310</v>
      </c>
      <c r="C8" s="153"/>
      <c r="D8" s="60">
        <f>SUM(L:L)</f>
        <v>65600</v>
      </c>
      <c r="E8" s="146">
        <f>D8+D9</f>
        <v>289600</v>
      </c>
      <c r="F8" s="166">
        <f>F4+F6</f>
        <v>80</v>
      </c>
      <c r="G8" s="58"/>
      <c r="H8" s="161"/>
      <c r="I8" s="161"/>
      <c r="J8" s="161"/>
      <c r="K8" s="59"/>
      <c r="L8" s="59"/>
      <c r="M8" s="59"/>
      <c r="N8" s="59"/>
      <c r="O8" s="92"/>
    </row>
    <row r="9" spans="2:15" s="25" customFormat="1" ht="20.100000000000001" customHeight="1" x14ac:dyDescent="0.25">
      <c r="B9" s="154" t="s">
        <v>311</v>
      </c>
      <c r="C9" s="155"/>
      <c r="D9" s="61">
        <f>SUM(M:M)</f>
        <v>224000</v>
      </c>
      <c r="E9" s="147"/>
      <c r="F9" s="167"/>
      <c r="G9" s="58"/>
      <c r="H9" s="161"/>
      <c r="I9" s="161"/>
      <c r="J9" s="161"/>
      <c r="K9" s="59"/>
      <c r="L9" s="59"/>
      <c r="M9" s="59"/>
      <c r="N9" s="59"/>
      <c r="O9" s="92"/>
    </row>
    <row r="10" spans="2:15" s="25" customFormat="1" ht="8.1" customHeight="1" x14ac:dyDescent="0.25">
      <c r="B10" s="134"/>
      <c r="C10" s="141"/>
      <c r="D10" s="141"/>
      <c r="E10" s="141"/>
      <c r="F10" s="141"/>
      <c r="G10" s="141"/>
      <c r="H10" s="141"/>
      <c r="I10" s="141"/>
      <c r="J10" s="141"/>
      <c r="K10" s="141"/>
      <c r="L10" s="141"/>
      <c r="M10" s="141"/>
      <c r="N10" s="141"/>
      <c r="O10" s="135"/>
    </row>
    <row r="11" spans="2:15" s="53" customFormat="1" ht="42" customHeight="1" x14ac:dyDescent="0.25">
      <c r="B11" s="124" t="s">
        <v>164</v>
      </c>
      <c r="C11" s="124" t="s">
        <v>149</v>
      </c>
      <c r="D11" s="124" t="s">
        <v>218</v>
      </c>
      <c r="E11" s="124" t="s">
        <v>219</v>
      </c>
      <c r="F11" s="126" t="s">
        <v>225</v>
      </c>
      <c r="G11" s="124" t="s">
        <v>216</v>
      </c>
      <c r="H11" s="124" t="s">
        <v>215</v>
      </c>
      <c r="I11" s="163" t="s">
        <v>226</v>
      </c>
      <c r="J11" s="126" t="s">
        <v>214</v>
      </c>
      <c r="K11" s="124" t="s">
        <v>211</v>
      </c>
      <c r="L11" s="165" t="s">
        <v>173</v>
      </c>
      <c r="M11" s="124" t="s">
        <v>177</v>
      </c>
      <c r="N11" s="124" t="s">
        <v>165</v>
      </c>
      <c r="O11" s="160" t="s">
        <v>220</v>
      </c>
    </row>
    <row r="12" spans="2:15" ht="23.85" customHeight="1" x14ac:dyDescent="0.25">
      <c r="B12" s="125"/>
      <c r="C12" s="125"/>
      <c r="D12" s="125"/>
      <c r="E12" s="125"/>
      <c r="F12" s="125"/>
      <c r="G12" s="125"/>
      <c r="H12" s="125"/>
      <c r="I12" s="164"/>
      <c r="J12" s="125"/>
      <c r="K12" s="125"/>
      <c r="L12" s="164"/>
      <c r="M12" s="125"/>
      <c r="N12" s="125"/>
      <c r="O12" s="125"/>
    </row>
    <row r="13" spans="2:15"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x14ac:dyDescent="0.25">
      <c r="B14" s="19" t="s">
        <v>174</v>
      </c>
      <c r="C14" s="24" t="s">
        <v>12</v>
      </c>
      <c r="D14" s="50" t="str">
        <f t="shared" si="0"/>
        <v>ETH Warsawa</v>
      </c>
      <c r="E14" s="50" t="str">
        <f t="shared" si="1"/>
        <v>Poland</v>
      </c>
      <c r="F14" s="23" t="s">
        <v>371</v>
      </c>
      <c r="G14" s="93" t="s">
        <v>210</v>
      </c>
      <c r="H14" s="94">
        <v>50</v>
      </c>
      <c r="I14" s="23" t="s">
        <v>372</v>
      </c>
      <c r="J14" s="19" t="s">
        <v>157</v>
      </c>
      <c r="K14" s="94">
        <v>30</v>
      </c>
      <c r="L14" s="44">
        <f t="shared" si="2"/>
        <v>41000</v>
      </c>
      <c r="M14" s="45">
        <f t="shared" si="3"/>
        <v>140000</v>
      </c>
      <c r="N14" s="46">
        <f t="shared" ref="N14:N15" si="5">L14+M14</f>
        <v>181000</v>
      </c>
      <c r="O14" s="40" t="str">
        <f>IF(OR(COUNTIF(WorkPackage,B14)=0,COUNTIF(PartnerN°,C14)=0,D14="",COUNTIF(CountryALL,E14)=0,F14="",COUNTIF(Category2,G14)=0,ISNUMBER(H14)=FALSE,H14&lt;=0,I14="",COUNTIF(TravelBands,J14)=0,ISNUMBER(K14)=FALSE,OR(K14&lt;0,K14&gt;90),IF(ISNUMBER(H14)=TRUE,H14=INT(H14*1)/1=FALSE),IF(ISNUMBER(K14)=TRUE,K14=INT(K14*1)/1=FALSE)),"Error","")</f>
        <v/>
      </c>
    </row>
    <row r="15" spans="2:15" s="41" customFormat="1" x14ac:dyDescent="0.25">
      <c r="B15" s="19" t="s">
        <v>174</v>
      </c>
      <c r="C15" s="24" t="s">
        <v>8</v>
      </c>
      <c r="D15" s="50" t="str">
        <f t="shared" ref="D15" si="6">IFERROR(IF(VLOOKUP(C15,PartnerN°Ref,2,FALSE)=0,"",VLOOKUP(C15,PartnerN°Ref,2,FALSE)),"")</f>
        <v>Faculty of Electrial Engineering</v>
      </c>
      <c r="E15" s="50" t="str">
        <f t="shared" ref="E15" si="7">IFERROR(IF(OR(VLOOKUP(C15,PartnerN°Ref,4,FALSE)="Country not found",VLOOKUP(C15,PartnerN°Ref,3,FALSE)=0),"",VLOOKUP(C15,PartnerN°Ref,3,FALSE)),"")</f>
        <v>Serbia</v>
      </c>
      <c r="F15" s="23" t="s">
        <v>371</v>
      </c>
      <c r="G15" s="93" t="s">
        <v>210</v>
      </c>
      <c r="H15" s="94">
        <v>30</v>
      </c>
      <c r="I15" s="23" t="s">
        <v>373</v>
      </c>
      <c r="J15" s="19" t="s">
        <v>157</v>
      </c>
      <c r="K15" s="94">
        <v>30</v>
      </c>
      <c r="L15" s="44">
        <f t="shared" ref="L15" si="8">IF(O15="Error",0,ROUND(ROUND(H15,0)*(VLOOKUP(J15,TravelCosts,2,FALSE)),2))</f>
        <v>24600</v>
      </c>
      <c r="M15" s="45">
        <f t="shared" ref="M15" si="9">IF(O15="Error",0,IF(AND(G15="Staff",K15&gt;0,K15&lt;15),(120*K15)*H15,IF(AND(G15="Staff",K15&gt;14,K15&lt;61),(1680+((K15-14)*70))*H15,IF(AND(G15="Staff",K15&gt;60,K15&lt;91),(4900+((K15-60)*50))*H15,IF(AND(G15="Student",K15&gt;0,K15&lt;15),(55*K15)*H15,IF(AND(G15="Student",K15&gt;14,K15&lt;91),(770+((K15-14)*40))*H15,0))))))</f>
        <v>84000</v>
      </c>
      <c r="N15" s="46">
        <f t="shared" si="5"/>
        <v>108600</v>
      </c>
      <c r="O15" s="40" t="str">
        <f>IF(OR(COUNTIF(WorkPackage,B15)=0,COUNTIF(PartnerN°,C15)=0,D15="",COUNTIF(CountryALL,E15)=0,F15="",COUNTIF(Category2,G15)=0,ISNUMBER(H15)=FALSE,H15&lt;=0,I15="",COUNTIF(TravelBands,J15)=0,ISNUMBER(K15)=FALSE,OR(K15&lt;0,K15&gt;90),IF(ISNUMBER(H15)=TRUE,H15=INT(H15*1)/1=FALSE),IF(ISNUMBER(K15)=TRUE,K15=INT(K15*1)/1=FALSE)),"Error","")</f>
        <v/>
      </c>
    </row>
  </sheetData>
  <sheetProtection password="E359" sheet="1" objects="1" scenarios="1" selectLockedCells="1"/>
  <dataConsolidate/>
  <mergeCells count="33">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 ref="C11:C12"/>
    <mergeCell ref="B9:C9"/>
    <mergeCell ref="B8:C8"/>
    <mergeCell ref="B7:C7"/>
    <mergeCell ref="B10:O10"/>
    <mergeCell ref="O11:O12"/>
    <mergeCell ref="H7:J9"/>
    <mergeCell ref="H6:J6"/>
    <mergeCell ref="B3:O3"/>
    <mergeCell ref="E8:E9"/>
    <mergeCell ref="E6:E7"/>
    <mergeCell ref="E4:E5"/>
    <mergeCell ref="B6:C6"/>
    <mergeCell ref="B5:C5"/>
    <mergeCell ref="B4:C4"/>
    <mergeCell ref="H4:I4"/>
    <mergeCell ref="K4:N4"/>
  </mergeCells>
  <conditionalFormatting sqref="O13:O14">
    <cfRule type="containsText" dxfId="98" priority="1356" operator="containsText" text="Error">
      <formula>NOT(ISERROR(SEARCH("Error",O13)))</formula>
    </cfRule>
  </conditionalFormatting>
  <conditionalFormatting sqref="D13:E14">
    <cfRule type="containsBlanks" dxfId="97" priority="1354">
      <formula>LEN(TRIM(D13))=0</formula>
    </cfRule>
  </conditionalFormatting>
  <conditionalFormatting sqref="K4:N4">
    <cfRule type="cellIs" dxfId="96" priority="1102" operator="equal">
      <formula>"EXCEEDING 80% OF TOTAL TRAVEL COSTS"</formula>
    </cfRule>
  </conditionalFormatting>
  <conditionalFormatting sqref="H13 K13">
    <cfRule type="expression" dxfId="95" priority="1094">
      <formula>ISNUMBER(H13)=FALSE</formula>
    </cfRule>
  </conditionalFormatting>
  <conditionalFormatting sqref="F13:K13">
    <cfRule type="containsBlanks" dxfId="94" priority="19">
      <formula>LEN(TRIM(F13))=0</formula>
    </cfRule>
  </conditionalFormatting>
  <conditionalFormatting sqref="B13:C13">
    <cfRule type="containsBlanks" dxfId="93" priority="1086">
      <formula>LEN(TRIM(B13))=0</formula>
    </cfRule>
  </conditionalFormatting>
  <conditionalFormatting sqref="B14:C14">
    <cfRule type="containsBlanks" dxfId="92" priority="1085">
      <formula>LEN(TRIM(B14))=0</formula>
    </cfRule>
  </conditionalFormatting>
  <conditionalFormatting sqref="K13">
    <cfRule type="cellIs" dxfId="91" priority="14" operator="lessThan">
      <formula>0</formula>
    </cfRule>
    <cfRule type="cellIs" dxfId="90" priority="1099" operator="equal">
      <formula>0</formula>
    </cfRule>
  </conditionalFormatting>
  <conditionalFormatting sqref="H13">
    <cfRule type="cellIs" dxfId="89" priority="1090" operator="lessThanOrEqual">
      <formula>0</formula>
    </cfRule>
  </conditionalFormatting>
  <conditionalFormatting sqref="H14 K14">
    <cfRule type="expression" dxfId="88" priority="12">
      <formula>ISNUMBER(H14)=FALSE</formula>
    </cfRule>
  </conditionalFormatting>
  <conditionalFormatting sqref="F14:K14">
    <cfRule type="containsBlanks" dxfId="87" priority="10">
      <formula>LEN(TRIM(F14))=0</formula>
    </cfRule>
  </conditionalFormatting>
  <conditionalFormatting sqref="K14">
    <cfRule type="cellIs" dxfId="86" priority="9" operator="lessThan">
      <formula>0</formula>
    </cfRule>
    <cfRule type="cellIs" dxfId="85" priority="13" operator="equal">
      <formula>0</formula>
    </cfRule>
  </conditionalFormatting>
  <conditionalFormatting sqref="H14">
    <cfRule type="cellIs" dxfId="84" priority="11" operator="lessThanOrEqual">
      <formula>0</formula>
    </cfRule>
  </conditionalFormatting>
  <conditionalFormatting sqref="O15">
    <cfRule type="containsText" dxfId="7" priority="8" operator="containsText" text="Error">
      <formula>NOT(ISERROR(SEARCH("Error",O15)))</formula>
    </cfRule>
  </conditionalFormatting>
  <conditionalFormatting sqref="D15:E15">
    <cfRule type="containsBlanks" dxfId="6" priority="7">
      <formula>LEN(TRIM(D15))=0</formula>
    </cfRule>
  </conditionalFormatting>
  <conditionalFormatting sqref="H15 K15">
    <cfRule type="expression" dxfId="5" priority="5">
      <formula>ISNUMBER(H15)=FALSE</formula>
    </cfRule>
  </conditionalFormatting>
  <conditionalFormatting sqref="F15:K15">
    <cfRule type="containsBlanks" dxfId="4" priority="2">
      <formula>LEN(TRIM(F15))=0</formula>
    </cfRule>
  </conditionalFormatting>
  <conditionalFormatting sqref="B15:C15">
    <cfRule type="containsBlanks" dxfId="3" priority="3">
      <formula>LEN(TRIM(B15))=0</formula>
    </cfRule>
  </conditionalFormatting>
  <conditionalFormatting sqref="K15">
    <cfRule type="cellIs" dxfId="2" priority="1" operator="lessThan">
      <formula>0</formula>
    </cfRule>
    <cfRule type="cellIs" dxfId="1" priority="6" operator="equal">
      <formula>0</formula>
    </cfRule>
  </conditionalFormatting>
  <conditionalFormatting sqref="H15">
    <cfRule type="cellIs" dxfId="0" priority="4" operator="lessThanOrEqual">
      <formula>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15"/>
    <dataValidation allowBlank="1" showInputMessage="1" showErrorMessage="1" error="Please encode City of Destination" prompt="Please encode City of Destination" sqref="I13:I15"/>
    <dataValidation type="whole" allowBlank="1" showInputMessage="1" showErrorMessage="1" error="Format error (whole number only)" prompt="Please encode number (whole number only)" sqref="H13:H15">
      <formula1>0</formula1>
      <formula2>50000</formula2>
    </dataValidation>
    <dataValidation allowBlank="1" showInputMessage="1" showErrorMessage="1" error="Please encode City of Departure" prompt="Please encode City of Departure" sqref="F13:F15"/>
    <dataValidation type="whole" allowBlank="1" showInputMessage="1" showErrorMessage="1" error="Please encode the number of days - Max 90 days for Student and Staff (whole number only)" prompt="Please encode the number of days - Max 90 days for Student and Staff (whole number only)" sqref="K13:K15">
      <formula1>0</formula1>
      <formula2>90</formula2>
    </dataValidation>
    <dataValidation type="list" allowBlank="1" showInputMessage="1" showErrorMessage="1" error="Click arrow to select Category" prompt="Click arrow to select Category" sqref="G13:G15">
      <formula1>Category2</formula1>
    </dataValidation>
    <dataValidation type="list" allowBlank="1" showInputMessage="1" showErrorMessage="1" error="Click arrow to select Work Package" prompt="Click arrow to select Work Package" sqref="B13:B15">
      <formula1>WorkPackage</formula1>
    </dataValidation>
    <dataValidation type="list" allowBlank="1" showInputMessage="1" showErrorMessage="1" error="Click arrow to select Distance" prompt="Click arrow to select Distance" sqref="J13:J15">
      <formula1>TravelBands</formula1>
    </dataValidation>
    <dataValidation type="list" allowBlank="1" showInputMessage="1" showErrorMessage="1" error="Click arrow to select Partner N°" prompt="Click arrow to select Partner N°" sqref="C13:C15">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8"/>
  <sheetViews>
    <sheetView showGridLines="0" topLeftCell="E1" zoomScale="70" zoomScaleNormal="70" zoomScaleSheetLayoutView="55" workbookViewId="0">
      <pane ySplit="13" topLeftCell="A14" activePane="bottomLeft" state="frozen"/>
      <selection pane="bottomLeft" activeCell="G16" sqref="G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62" t="s">
        <v>187</v>
      </c>
      <c r="C2" s="162"/>
      <c r="D2" s="162"/>
      <c r="E2" s="162"/>
      <c r="F2" s="162"/>
      <c r="G2" s="162"/>
      <c r="H2" s="162"/>
      <c r="I2" s="162"/>
    </row>
    <row r="3" spans="2:9" s="25" customFormat="1" ht="8.1" customHeight="1" x14ac:dyDescent="0.25">
      <c r="B3" s="142"/>
      <c r="C3" s="143"/>
      <c r="D3" s="143"/>
      <c r="E3" s="143"/>
      <c r="F3" s="143"/>
      <c r="G3" s="143"/>
      <c r="H3" s="143"/>
      <c r="I3" s="144"/>
    </row>
    <row r="4" spans="2:9" s="25" customFormat="1" ht="9.9499999999999993" customHeight="1" x14ac:dyDescent="0.25">
      <c r="B4" s="174" t="s">
        <v>186</v>
      </c>
      <c r="C4" s="177">
        <f>SUM(H:H)</f>
        <v>170000</v>
      </c>
      <c r="D4" s="178"/>
      <c r="E4" s="138"/>
      <c r="F4" s="139"/>
      <c r="G4" s="139"/>
      <c r="H4" s="139"/>
      <c r="I4" s="140"/>
    </row>
    <row r="5" spans="2:9" s="25" customFormat="1" ht="9.9499999999999993" customHeight="1" x14ac:dyDescent="0.25">
      <c r="B5" s="175"/>
      <c r="C5" s="179"/>
      <c r="D5" s="180"/>
      <c r="E5" s="138"/>
      <c r="F5" s="139"/>
      <c r="G5" s="139"/>
      <c r="H5" s="139"/>
      <c r="I5" s="140"/>
    </row>
    <row r="6" spans="2:9" s="25" customFormat="1" ht="9.9499999999999993" customHeight="1" x14ac:dyDescent="0.25">
      <c r="B6" s="175"/>
      <c r="C6" s="179"/>
      <c r="D6" s="180"/>
      <c r="E6" s="138"/>
      <c r="F6" s="139"/>
      <c r="G6" s="139"/>
      <c r="H6" s="139"/>
      <c r="I6" s="140"/>
    </row>
    <row r="7" spans="2:9" s="25" customFormat="1" ht="9.9499999999999993" customHeight="1" x14ac:dyDescent="0.25">
      <c r="B7" s="175"/>
      <c r="C7" s="179"/>
      <c r="D7" s="180"/>
      <c r="E7" s="138"/>
      <c r="F7" s="139"/>
      <c r="G7" s="139"/>
      <c r="H7" s="139"/>
      <c r="I7" s="140"/>
    </row>
    <row r="8" spans="2:9" s="25" customFormat="1" ht="9.9499999999999993" customHeight="1" x14ac:dyDescent="0.25">
      <c r="B8" s="175"/>
      <c r="C8" s="179"/>
      <c r="D8" s="180"/>
      <c r="E8" s="138"/>
      <c r="F8" s="139"/>
      <c r="G8" s="139"/>
      <c r="H8" s="139"/>
      <c r="I8" s="140"/>
    </row>
    <row r="9" spans="2:9" s="25" customFormat="1" ht="9.9499999999999993" customHeight="1" x14ac:dyDescent="0.25">
      <c r="B9" s="176"/>
      <c r="C9" s="181"/>
      <c r="D9" s="182"/>
      <c r="E9" s="138"/>
      <c r="F9" s="139"/>
      <c r="G9" s="139"/>
      <c r="H9" s="139"/>
      <c r="I9" s="140"/>
    </row>
    <row r="10" spans="2:9" s="25" customFormat="1" ht="8.1" customHeight="1" x14ac:dyDescent="0.25">
      <c r="B10" s="134"/>
      <c r="C10" s="141"/>
      <c r="D10" s="141"/>
      <c r="E10" s="141"/>
      <c r="F10" s="141"/>
      <c r="G10" s="141"/>
      <c r="H10" s="141"/>
      <c r="I10" s="135"/>
    </row>
    <row r="11" spans="2:9" s="53" customFormat="1" ht="42" customHeight="1" x14ac:dyDescent="0.25">
      <c r="B11" s="124" t="s">
        <v>164</v>
      </c>
      <c r="C11" s="124" t="s">
        <v>149</v>
      </c>
      <c r="D11" s="124" t="s">
        <v>218</v>
      </c>
      <c r="E11" s="173" t="s">
        <v>219</v>
      </c>
      <c r="F11" s="126" t="s">
        <v>134</v>
      </c>
      <c r="G11" s="160" t="s">
        <v>167</v>
      </c>
      <c r="H11" s="160" t="s">
        <v>166</v>
      </c>
      <c r="I11" s="160" t="s">
        <v>220</v>
      </c>
    </row>
    <row r="12" spans="2:9" ht="23.85" customHeight="1" x14ac:dyDescent="0.25">
      <c r="B12" s="125"/>
      <c r="C12" s="125"/>
      <c r="D12" s="125"/>
      <c r="E12" s="126"/>
      <c r="F12" s="125"/>
      <c r="G12" s="125"/>
      <c r="H12" s="125"/>
      <c r="I12" s="125"/>
    </row>
    <row r="13" spans="2:9" s="41" customFormat="1" hidden="1" x14ac:dyDescent="0.25">
      <c r="B13" s="19"/>
      <c r="C13" s="24"/>
      <c r="D13" s="50" t="str">
        <f>IFERROR(IF(VLOOKUP(C13,PartnerN°Ref,2,FALSE)=0,"",VLOOKUP(C13,PartnerN°Ref,2,FALSE)),"")</f>
        <v/>
      </c>
      <c r="E13" s="50" t="str">
        <f>IFERROR(IF(OR(VLOOKUP(C13,PartnerN°Ref,4,FALSE)="Country not found",VLOOKUP(C13,PartnerN°Ref,3,FALSE)=0),"",VLOOKUP(C13,PartnerN°Ref,3,FALSE)),"")</f>
        <v/>
      </c>
      <c r="F13" s="23"/>
      <c r="G13" s="42">
        <v>0</v>
      </c>
      <c r="H13" s="43">
        <f>IF(I13="Error",0,ROUND(G13,2))</f>
        <v>0</v>
      </c>
      <c r="I13" s="40" t="str">
        <f>IF(OR(COUNTIF(WorkPackage,B13)=0,COUNTIF(PartnerN°,C13)=0,D13="",COUNTIF(CountryEligEquip,E13)=0,F13="",ISNUMBER(G13)=FALSE,IF(ISNUMBER(G13)=TRUE,G13=INT(G13*100)/100=FALSE)),"Error","")</f>
        <v>Error</v>
      </c>
    </row>
    <row r="14" spans="2:9" s="41" customFormat="1" x14ac:dyDescent="0.25">
      <c r="B14" s="19" t="s">
        <v>175</v>
      </c>
      <c r="C14" s="24" t="s">
        <v>8</v>
      </c>
      <c r="D14" s="50" t="str">
        <f>IFERROR(IF(VLOOKUP(C14,PartnerN°Ref,2,FALSE)=0,"",VLOOKUP(C14,PartnerN°Ref,2,FALSE)),"")</f>
        <v>Faculty of Electrial Engineering</v>
      </c>
      <c r="E14" s="50" t="str">
        <f>IFERROR(IF(OR(VLOOKUP(C14,PartnerN°Ref,4,FALSE)="Country not found",VLOOKUP(C14,PartnerN°Ref,3,FALSE)=0),"",VLOOKUP(C14,PartnerN°Ref,3,FALSE)),"")</f>
        <v>Serbia</v>
      </c>
      <c r="F14" s="23" t="s">
        <v>365</v>
      </c>
      <c r="G14" s="42">
        <v>50000</v>
      </c>
      <c r="H14" s="43">
        <f>IF(I14="Error",0,ROUND(G14,2))</f>
        <v>50000</v>
      </c>
      <c r="I14" s="40" t="str">
        <f>IF(OR(COUNTIF(WorkPackage,B14)=0,COUNTIF(PartnerN°,C14)=0,D14="",COUNTIF(CountryEligEquip,E14)=0,F14="",ISNUMBER(G14)=FALSE,IF(ISNUMBER(G14)=TRUE,G14=INT(G14*100)/100=FALSE)),"Error","")</f>
        <v/>
      </c>
    </row>
    <row r="15" spans="2:9" s="41" customFormat="1" x14ac:dyDescent="0.25">
      <c r="B15" s="19" t="s">
        <v>175</v>
      </c>
      <c r="C15" s="24" t="s">
        <v>9</v>
      </c>
      <c r="D15" s="50" t="str">
        <f>IFERROR(IF(VLOOKUP(C15,PartnerN°Ref,2,FALSE)=0,"",VLOOKUP(C15,PartnerN°Ref,2,FALSE)),"")</f>
        <v>Schnieder Electric Serbia</v>
      </c>
      <c r="E15" s="50" t="str">
        <f>IFERROR(IF(OR(VLOOKUP(C15,PartnerN°Ref,4,FALSE)="Country not found",VLOOKUP(C15,PartnerN°Ref,3,FALSE)=0),"",VLOOKUP(C15,PartnerN°Ref,3,FALSE)),"")</f>
        <v>Serbia</v>
      </c>
      <c r="F15" s="23" t="s">
        <v>367</v>
      </c>
      <c r="G15" s="42">
        <v>50000</v>
      </c>
      <c r="H15" s="43">
        <f>IF(I15="Error",0,ROUND(G15,2))</f>
        <v>50000</v>
      </c>
      <c r="I15" s="40" t="str">
        <f>IF(OR(COUNTIF(WorkPackage,B15)=0,COUNTIF(PartnerN°,C15)=0,D15="",COUNTIF(CountryEligEquip,E15)=0,F15="",ISNUMBER(G15)=FALSE,IF(ISNUMBER(G15)=TRUE,G15=INT(G15*100)/100=FALSE)),"Error","")</f>
        <v/>
      </c>
    </row>
    <row r="16" spans="2:9" s="41" customFormat="1" x14ac:dyDescent="0.25">
      <c r="B16" s="19" t="s">
        <v>175</v>
      </c>
      <c r="C16" s="24" t="s">
        <v>8</v>
      </c>
      <c r="D16" s="50" t="str">
        <f>IFERROR(IF(VLOOKUP(C16,PartnerN°Ref,2,FALSE)=0,"",VLOOKUP(C16,PartnerN°Ref,2,FALSE)),"")</f>
        <v>Faculty of Electrial Engineering</v>
      </c>
      <c r="E16" s="50" t="str">
        <f>IFERROR(IF(OR(VLOOKUP(C16,PartnerN°Ref,4,FALSE)="Country not found",VLOOKUP(C16,PartnerN°Ref,3,FALSE)=0),"",VLOOKUP(C16,PartnerN°Ref,3,FALSE)),"")</f>
        <v>Serbia</v>
      </c>
      <c r="F16" s="23" t="s">
        <v>366</v>
      </c>
      <c r="G16" s="42">
        <v>50000</v>
      </c>
      <c r="H16" s="43">
        <f>IF(I16="Error",0,ROUND(G16,2))</f>
        <v>50000</v>
      </c>
      <c r="I16" s="40" t="str">
        <f>IF(OR(COUNTIF(WorkPackage,B16)=0,COUNTIF(PartnerN°,C16)=0,D16="",COUNTIF(CountryEligEquip,E16)=0,F16="",ISNUMBER(G16)=FALSE,IF(ISNUMBER(G16)=TRUE,G16=INT(G16*100)/100=FALSE)),"Error","")</f>
        <v/>
      </c>
    </row>
    <row r="17" spans="2:9" s="41" customFormat="1" x14ac:dyDescent="0.25">
      <c r="B17" s="19" t="s">
        <v>174</v>
      </c>
      <c r="C17" s="24" t="s">
        <v>8</v>
      </c>
      <c r="D17" s="50" t="str">
        <f>IFERROR(IF(VLOOKUP(C17,PartnerN°Ref,2,FALSE)=0,"",VLOOKUP(C17,PartnerN°Ref,2,FALSE)),"")</f>
        <v>Faculty of Electrial Engineering</v>
      </c>
      <c r="E17" s="50" t="str">
        <f>IFERROR(IF(OR(VLOOKUP(C17,PartnerN°Ref,4,FALSE)="Country not found",VLOOKUP(C17,PartnerN°Ref,3,FALSE)=0),"",VLOOKUP(C17,PartnerN°Ref,3,FALSE)),"")</f>
        <v>Serbia</v>
      </c>
      <c r="F17" s="23" t="s">
        <v>368</v>
      </c>
      <c r="G17" s="42">
        <v>10000</v>
      </c>
      <c r="H17" s="43">
        <f>IF(I17="Error",0,ROUND(G17,2))</f>
        <v>10000</v>
      </c>
      <c r="I17" s="40" t="str">
        <f>IF(OR(COUNTIF(WorkPackage,B17)=0,COUNTIF(PartnerN°,C17)=0,D17="",COUNTIF(CountryEligEquip,E17)=0,F17="",ISNUMBER(G17)=FALSE,IF(ISNUMBER(G17)=TRUE,G17=INT(G17*100)/100=FALSE)),"Error","")</f>
        <v/>
      </c>
    </row>
    <row r="18" spans="2:9" s="41" customFormat="1" x14ac:dyDescent="0.25">
      <c r="B18" s="19" t="s">
        <v>174</v>
      </c>
      <c r="C18" s="24" t="s">
        <v>9</v>
      </c>
      <c r="D18" s="50" t="str">
        <f>IFERROR(IF(VLOOKUP(C18,PartnerN°Ref,2,FALSE)=0,"",VLOOKUP(C18,PartnerN°Ref,2,FALSE)),"")</f>
        <v>Schnieder Electric Serbia</v>
      </c>
      <c r="E18" s="50" t="str">
        <f>IFERROR(IF(OR(VLOOKUP(C18,PartnerN°Ref,4,FALSE)="Country not found",VLOOKUP(C18,PartnerN°Ref,3,FALSE)=0),"",VLOOKUP(C18,PartnerN°Ref,3,FALSE)),"")</f>
        <v>Serbia</v>
      </c>
      <c r="F18" s="23" t="s">
        <v>368</v>
      </c>
      <c r="G18" s="42">
        <v>10000</v>
      </c>
      <c r="H18" s="43">
        <f>IF(I18="Error",0,ROUND(G18,2))</f>
        <v>10000</v>
      </c>
      <c r="I18" s="40" t="str">
        <f>IF(OR(COUNTIF(WorkPackage,B18)=0,COUNTIF(PartnerN°,C18)=0,D18="",COUNTIF(CountryEligEquip,E18)=0,F18="",ISNUMBER(G18)=FALSE,IF(ISNUMBER(G18)=TRUE,G18=INT(G18*100)/100=FALSE)),"Error","")</f>
        <v/>
      </c>
    </row>
  </sheetData>
  <sheetProtection password="E359"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83" priority="416" operator="containsText" text="Error">
      <formula>NOT(ISERROR(SEARCH("Error",I13)))</formula>
    </cfRule>
  </conditionalFormatting>
  <conditionalFormatting sqref="D13:E14">
    <cfRule type="containsBlanks" dxfId="82" priority="411">
      <formula>LEN(TRIM(D13))=0</formula>
    </cfRule>
  </conditionalFormatting>
  <conditionalFormatting sqref="E13">
    <cfRule type="expression" dxfId="81" priority="333">
      <formula>COUNTIF(CountryEligEquip,E13)=0</formula>
    </cfRule>
  </conditionalFormatting>
  <conditionalFormatting sqref="E14">
    <cfRule type="expression" dxfId="80" priority="334">
      <formula>COUNTIF(CountryEligEquip,E14)=0</formula>
    </cfRule>
  </conditionalFormatting>
  <conditionalFormatting sqref="G13">
    <cfRule type="cellIs" dxfId="79" priority="62" operator="lessThanOrEqual">
      <formula>0</formula>
    </cfRule>
  </conditionalFormatting>
  <conditionalFormatting sqref="F13:G13">
    <cfRule type="containsBlanks" dxfId="78" priority="59">
      <formula>LEN(TRIM(F13))=0</formula>
    </cfRule>
  </conditionalFormatting>
  <conditionalFormatting sqref="G14">
    <cfRule type="cellIs" dxfId="77" priority="58" operator="lessThanOrEqual">
      <formula>0</formula>
    </cfRule>
  </conditionalFormatting>
  <conditionalFormatting sqref="F14:G14">
    <cfRule type="containsBlanks" dxfId="76" priority="57">
      <formula>LEN(TRIM(F14))=0</formula>
    </cfRule>
  </conditionalFormatting>
  <conditionalFormatting sqref="B13:C13">
    <cfRule type="containsBlanks" dxfId="75" priority="56">
      <formula>LEN(TRIM(B13))=0</formula>
    </cfRule>
  </conditionalFormatting>
  <conditionalFormatting sqref="B14:C14">
    <cfRule type="containsBlanks" dxfId="74" priority="55">
      <formula>LEN(TRIM(B14))=0</formula>
    </cfRule>
  </conditionalFormatting>
  <conditionalFormatting sqref="I15">
    <cfRule type="containsText" dxfId="73" priority="48" operator="containsText" text="Error">
      <formula>NOT(ISERROR(SEARCH("Error",I15)))</formula>
    </cfRule>
  </conditionalFormatting>
  <conditionalFormatting sqref="D15:E15">
    <cfRule type="containsBlanks" dxfId="72" priority="47">
      <formula>LEN(TRIM(D15))=0</formula>
    </cfRule>
  </conditionalFormatting>
  <conditionalFormatting sqref="E15">
    <cfRule type="expression" dxfId="71" priority="46">
      <formula>COUNTIF(CountryEligEquip,E15)=0</formula>
    </cfRule>
  </conditionalFormatting>
  <conditionalFormatting sqref="G15">
    <cfRule type="cellIs" dxfId="70" priority="45" operator="lessThanOrEqual">
      <formula>0</formula>
    </cfRule>
  </conditionalFormatting>
  <conditionalFormatting sqref="F15:G15">
    <cfRule type="containsBlanks" dxfId="69" priority="44">
      <formula>LEN(TRIM(F15))=0</formula>
    </cfRule>
  </conditionalFormatting>
  <conditionalFormatting sqref="B15:C15">
    <cfRule type="containsBlanks" dxfId="68" priority="43">
      <formula>LEN(TRIM(B15))=0</formula>
    </cfRule>
  </conditionalFormatting>
  <conditionalFormatting sqref="I16">
    <cfRule type="containsText" dxfId="67" priority="42" operator="containsText" text="Error">
      <formula>NOT(ISERROR(SEARCH("Error",I16)))</formula>
    </cfRule>
  </conditionalFormatting>
  <conditionalFormatting sqref="D16:E16">
    <cfRule type="containsBlanks" dxfId="66" priority="41">
      <formula>LEN(TRIM(D16))=0</formula>
    </cfRule>
  </conditionalFormatting>
  <conditionalFormatting sqref="E16">
    <cfRule type="expression" dxfId="65" priority="40">
      <formula>COUNTIF(CountryEligEquip,E16)=0</formula>
    </cfRule>
  </conditionalFormatting>
  <conditionalFormatting sqref="G16">
    <cfRule type="cellIs" dxfId="64" priority="39" operator="lessThanOrEqual">
      <formula>0</formula>
    </cfRule>
  </conditionalFormatting>
  <conditionalFormatting sqref="F16:G16">
    <cfRule type="containsBlanks" dxfId="63" priority="38">
      <formula>LEN(TRIM(F16))=0</formula>
    </cfRule>
  </conditionalFormatting>
  <conditionalFormatting sqref="B16:C16">
    <cfRule type="containsBlanks" dxfId="62" priority="37">
      <formula>LEN(TRIM(B16))=0</formula>
    </cfRule>
  </conditionalFormatting>
  <conditionalFormatting sqref="I17">
    <cfRule type="containsText" dxfId="61" priority="36" operator="containsText" text="Error">
      <formula>NOT(ISERROR(SEARCH("Error",I17)))</formula>
    </cfRule>
  </conditionalFormatting>
  <conditionalFormatting sqref="D17:E17">
    <cfRule type="containsBlanks" dxfId="60" priority="35">
      <formula>LEN(TRIM(D17))=0</formula>
    </cfRule>
  </conditionalFormatting>
  <conditionalFormatting sqref="E17">
    <cfRule type="expression" dxfId="59" priority="34">
      <formula>COUNTIF(CountryEligEquip,E17)=0</formula>
    </cfRule>
  </conditionalFormatting>
  <conditionalFormatting sqref="G17">
    <cfRule type="cellIs" dxfId="58" priority="33" operator="lessThanOrEqual">
      <formula>0</formula>
    </cfRule>
  </conditionalFormatting>
  <conditionalFormatting sqref="F17:G17">
    <cfRule type="containsBlanks" dxfId="57" priority="32">
      <formula>LEN(TRIM(F17))=0</formula>
    </cfRule>
  </conditionalFormatting>
  <conditionalFormatting sqref="B17:C17">
    <cfRule type="containsBlanks" dxfId="56" priority="31">
      <formula>LEN(TRIM(B17))=0</formula>
    </cfRule>
  </conditionalFormatting>
  <conditionalFormatting sqref="I18">
    <cfRule type="containsText" dxfId="55" priority="30" operator="containsText" text="Error">
      <formula>NOT(ISERROR(SEARCH("Error",I18)))</formula>
    </cfRule>
  </conditionalFormatting>
  <conditionalFormatting sqref="D18:E18">
    <cfRule type="containsBlanks" dxfId="54" priority="29">
      <formula>LEN(TRIM(D18))=0</formula>
    </cfRule>
  </conditionalFormatting>
  <conditionalFormatting sqref="E18">
    <cfRule type="expression" dxfId="53" priority="28">
      <formula>COUNTIF(CountryEligEquip,E18)=0</formula>
    </cfRule>
  </conditionalFormatting>
  <conditionalFormatting sqref="G18">
    <cfRule type="cellIs" dxfId="52" priority="27" operator="lessThanOrEqual">
      <formula>0</formula>
    </cfRule>
  </conditionalFormatting>
  <conditionalFormatting sqref="F18:G18">
    <cfRule type="containsBlanks" dxfId="51" priority="26">
      <formula>LEN(TRIM(F18))=0</formula>
    </cfRule>
  </conditionalFormatting>
  <conditionalFormatting sqref="B18:C18">
    <cfRule type="containsBlanks" dxfId="50" priority="25">
      <formula>LEN(TRIM(B18))=0</formula>
    </cfRule>
  </conditionalFormatting>
  <dataValidations count="4">
    <dataValidation type="custom" allowBlank="1" showInputMessage="1" showErrorMessage="1" error="Format error (2 decimals only)" prompt="Please encode amount (2 decimals only)" sqref="G13:G18">
      <formula1>G13=INT(G13*100)/100</formula1>
    </dataValidation>
    <dataValidation allowBlank="1" showInputMessage="1" showErrorMessage="1" error="Please encode Nature, type and specifications" prompt="Please encode Nature, type and specifications" sqref="F13:F18"/>
    <dataValidation type="list" allowBlank="1" showInputMessage="1" showErrorMessage="1" error="Click arrow to select Work Package" prompt="Click arrow to select Work Package" sqref="B13:B18">
      <formula1>WorkPackage</formula1>
    </dataValidation>
    <dataValidation type="list" allowBlank="1" showInputMessage="1" showErrorMessage="1" error="Click arrow to select Partner N°" prompt="Click arrow to select Partner N°" sqref="C13:C18">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6"/>
  <sheetViews>
    <sheetView showGridLines="0" topLeftCell="D1" zoomScale="70" zoomScaleNormal="70" zoomScaleSheetLayoutView="55" workbookViewId="0">
      <pane ySplit="13" topLeftCell="A14" activePane="bottomLeft" state="frozen"/>
      <selection pane="bottomLeft" activeCell="G16" sqref="G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62" t="s">
        <v>188</v>
      </c>
      <c r="C2" s="162"/>
      <c r="D2" s="162"/>
      <c r="E2" s="162"/>
      <c r="F2" s="162"/>
      <c r="G2" s="162"/>
      <c r="H2" s="162"/>
      <c r="I2" s="162"/>
    </row>
    <row r="3" spans="2:9" s="25" customFormat="1" ht="8.1" customHeight="1" x14ac:dyDescent="0.25">
      <c r="B3" s="142"/>
      <c r="C3" s="143"/>
      <c r="D3" s="143"/>
      <c r="E3" s="143"/>
      <c r="F3" s="143"/>
      <c r="G3" s="143"/>
      <c r="H3" s="143"/>
      <c r="I3" s="144"/>
    </row>
    <row r="4" spans="2:9" s="25" customFormat="1" ht="9.9499999999999993" customHeight="1" x14ac:dyDescent="0.25">
      <c r="B4" s="174" t="s">
        <v>186</v>
      </c>
      <c r="C4" s="177">
        <f>SUM(H:H)</f>
        <v>50000</v>
      </c>
      <c r="D4" s="178"/>
      <c r="E4" s="138"/>
      <c r="F4" s="139"/>
      <c r="G4" s="139"/>
      <c r="H4" s="139"/>
      <c r="I4" s="140"/>
    </row>
    <row r="5" spans="2:9" s="25" customFormat="1" ht="9.9499999999999993" customHeight="1" x14ac:dyDescent="0.25">
      <c r="B5" s="175"/>
      <c r="C5" s="179"/>
      <c r="D5" s="180"/>
      <c r="E5" s="138"/>
      <c r="F5" s="139"/>
      <c r="G5" s="139"/>
      <c r="H5" s="139"/>
      <c r="I5" s="140"/>
    </row>
    <row r="6" spans="2:9" s="25" customFormat="1" ht="9.9499999999999993" customHeight="1" x14ac:dyDescent="0.25">
      <c r="B6" s="175"/>
      <c r="C6" s="179"/>
      <c r="D6" s="180"/>
      <c r="E6" s="138"/>
      <c r="F6" s="139"/>
      <c r="G6" s="139"/>
      <c r="H6" s="139"/>
      <c r="I6" s="140"/>
    </row>
    <row r="7" spans="2:9" s="25" customFormat="1" ht="9.9499999999999993" customHeight="1" x14ac:dyDescent="0.25">
      <c r="B7" s="175"/>
      <c r="C7" s="179"/>
      <c r="D7" s="180"/>
      <c r="E7" s="138"/>
      <c r="F7" s="139"/>
      <c r="G7" s="139"/>
      <c r="H7" s="139"/>
      <c r="I7" s="140"/>
    </row>
    <row r="8" spans="2:9" s="25" customFormat="1" ht="9.9499999999999993" customHeight="1" x14ac:dyDescent="0.25">
      <c r="B8" s="175"/>
      <c r="C8" s="179"/>
      <c r="D8" s="180"/>
      <c r="E8" s="138"/>
      <c r="F8" s="139"/>
      <c r="G8" s="139"/>
      <c r="H8" s="139"/>
      <c r="I8" s="140"/>
    </row>
    <row r="9" spans="2:9" s="25" customFormat="1" ht="9.9499999999999993" customHeight="1" x14ac:dyDescent="0.25">
      <c r="B9" s="176"/>
      <c r="C9" s="181"/>
      <c r="D9" s="182"/>
      <c r="E9" s="138"/>
      <c r="F9" s="139"/>
      <c r="G9" s="139"/>
      <c r="H9" s="139"/>
      <c r="I9" s="140"/>
    </row>
    <row r="10" spans="2:9" s="25" customFormat="1" ht="8.1" customHeight="1" x14ac:dyDescent="0.25">
      <c r="B10" s="134"/>
      <c r="C10" s="141"/>
      <c r="D10" s="141"/>
      <c r="E10" s="141"/>
      <c r="F10" s="141"/>
      <c r="G10" s="141"/>
      <c r="H10" s="141"/>
      <c r="I10" s="135"/>
    </row>
    <row r="11" spans="2:9" s="53" customFormat="1" ht="42" customHeight="1" x14ac:dyDescent="0.25">
      <c r="B11" s="124" t="s">
        <v>164</v>
      </c>
      <c r="C11" s="124" t="s">
        <v>149</v>
      </c>
      <c r="D11" s="124" t="s">
        <v>218</v>
      </c>
      <c r="E11" s="124" t="s">
        <v>219</v>
      </c>
      <c r="F11" s="126" t="s">
        <v>134</v>
      </c>
      <c r="G11" s="160" t="s">
        <v>167</v>
      </c>
      <c r="H11" s="160" t="s">
        <v>166</v>
      </c>
      <c r="I11" s="160" t="s">
        <v>220</v>
      </c>
    </row>
    <row r="12" spans="2:9" ht="23.85" customHeight="1" x14ac:dyDescent="0.25">
      <c r="B12" s="125"/>
      <c r="C12" s="125"/>
      <c r="D12" s="125"/>
      <c r="E12" s="125"/>
      <c r="F12" s="125"/>
      <c r="G12" s="125"/>
      <c r="H12" s="125"/>
      <c r="I12" s="125"/>
    </row>
    <row r="13" spans="2:9" s="41" customFormat="1" hidden="1" x14ac:dyDescent="0.25">
      <c r="B13" s="19"/>
      <c r="C13" s="24"/>
      <c r="D13" s="50" t="str">
        <f>IFERROR(IF(VLOOKUP(C13,PartnerN°Ref,2,FALSE)=0,"",VLOOKUP(C13,PartnerN°Ref,2,FALSE)),"")</f>
        <v/>
      </c>
      <c r="E13" s="50" t="str">
        <f>IFERROR(IF(OR(VLOOKUP(C13,PartnerN°Ref,4,FALSE)="Country not found",VLOOKUP(C13,PartnerN°Ref,3,FALSE)=0),"",VLOOKUP(C13,PartnerN°Ref,3,FALSE)),"")</f>
        <v/>
      </c>
      <c r="F13" s="23"/>
      <c r="G13" s="42">
        <v>0</v>
      </c>
      <c r="H13" s="43">
        <f>IF(I13="Error",0,ROUND(G13,2))</f>
        <v>0</v>
      </c>
      <c r="I13" s="40" t="str">
        <f>IF(OR(COUNTIF(WorkPackage,B13)=0,COUNTIF(PartnerN°,C13)=0,D13="",COUNTIF(CountryALL,E13)=0,F13="",ISNUMBER(G13)=FALSE,IF(ISNUMBER(G13)=TRUE,G13=INT(G13*100)/100=FALSE)),"Error","")</f>
        <v>Error</v>
      </c>
    </row>
    <row r="14" spans="2:9" s="41" customFormat="1" x14ac:dyDescent="0.25">
      <c r="B14" s="19" t="s">
        <v>174</v>
      </c>
      <c r="C14" s="24" t="s">
        <v>8</v>
      </c>
      <c r="D14" s="50" t="str">
        <f>IFERROR(IF(VLOOKUP(C14,PartnerN°Ref,2,FALSE)=0,"",VLOOKUP(C14,PartnerN°Ref,2,FALSE)),"")</f>
        <v>Faculty of Electrial Engineering</v>
      </c>
      <c r="E14" s="50" t="str">
        <f>IFERROR(IF(OR(VLOOKUP(C14,PartnerN°Ref,4,FALSE)="Country not found",VLOOKUP(C14,PartnerN°Ref,3,FALSE)=0),"",VLOOKUP(C14,PartnerN°Ref,3,FALSE)),"")</f>
        <v>Serbia</v>
      </c>
      <c r="F14" s="23" t="s">
        <v>369</v>
      </c>
      <c r="G14" s="42">
        <v>20000</v>
      </c>
      <c r="H14" s="43">
        <f>IF(I14="Error",0,ROUND(G14,2))</f>
        <v>20000</v>
      </c>
      <c r="I14" s="40" t="str">
        <f>IF(OR(COUNTIF(WorkPackage,B14)=0,COUNTIF(PartnerN°,C14)=0,D14="",COUNTIF(CountryALL,E14)=0,F14="",ISNUMBER(G14)=FALSE,IF(ISNUMBER(G14)=TRUE,G14=INT(G14*100)/100=FALSE)),"Error","")</f>
        <v/>
      </c>
    </row>
    <row r="15" spans="2:9" s="41" customFormat="1" x14ac:dyDescent="0.25">
      <c r="B15" s="19" t="s">
        <v>322</v>
      </c>
      <c r="C15" s="24" t="s">
        <v>10</v>
      </c>
      <c r="D15" s="50" t="str">
        <f>IFERROR(IF(VLOOKUP(C15,PartnerN°Ref,2,FALSE)=0,"",VLOOKUP(C15,PartnerN°Ref,2,FALSE)),"")</f>
        <v>Aegis Defence Services</v>
      </c>
      <c r="E15" s="50" t="str">
        <f>IFERROR(IF(OR(VLOOKUP(C15,PartnerN°Ref,4,FALSE)="Country not found",VLOOKUP(C15,PartnerN°Ref,3,FALSE)=0),"",VLOOKUP(C15,PartnerN°Ref,3,FALSE)),"")</f>
        <v>Hungary</v>
      </c>
      <c r="F15" s="23" t="s">
        <v>370</v>
      </c>
      <c r="G15" s="42">
        <v>20000</v>
      </c>
      <c r="H15" s="43">
        <f>IF(I15="Error",0,ROUND(G15,2))</f>
        <v>20000</v>
      </c>
      <c r="I15" s="40" t="str">
        <f>IF(OR(COUNTIF(WorkPackage,B15)=0,COUNTIF(PartnerN°,C15)=0,D15="",COUNTIF(CountryALL,E15)=0,F15="",ISNUMBER(G15)=FALSE,IF(ISNUMBER(G15)=TRUE,G15=INT(G15*100)/100=FALSE)),"Error","")</f>
        <v/>
      </c>
    </row>
    <row r="16" spans="2:9" s="41" customFormat="1" x14ac:dyDescent="0.25">
      <c r="B16" s="19" t="s">
        <v>174</v>
      </c>
      <c r="C16" s="24" t="s">
        <v>9</v>
      </c>
      <c r="D16" s="50" t="str">
        <f>IFERROR(IF(VLOOKUP(C16,PartnerN°Ref,2,FALSE)=0,"",VLOOKUP(C16,PartnerN°Ref,2,FALSE)),"")</f>
        <v>Schnieder Electric Serbia</v>
      </c>
      <c r="E16" s="50" t="str">
        <f>IFERROR(IF(OR(VLOOKUP(C16,PartnerN°Ref,4,FALSE)="Country not found",VLOOKUP(C16,PartnerN°Ref,3,FALSE)=0),"",VLOOKUP(C16,PartnerN°Ref,3,FALSE)),"")</f>
        <v>Serbia</v>
      </c>
      <c r="F16" s="23" t="s">
        <v>369</v>
      </c>
      <c r="G16" s="42">
        <v>10000</v>
      </c>
      <c r="H16" s="43">
        <f>IF(I16="Error",0,ROUND(G16,2))</f>
        <v>10000</v>
      </c>
      <c r="I16" s="40" t="str">
        <f>IF(OR(COUNTIF(WorkPackage,B16)=0,COUNTIF(PartnerN°,C16)=0,D16="",COUNTIF(CountryALL,E16)=0,F16="",ISNUMBER(G16)=FALSE,IF(ISNUMBER(G16)=TRUE,G16=INT(G16*100)/100=FALSE)),"Error","")</f>
        <v/>
      </c>
    </row>
  </sheetData>
  <sheetProtection password="E359"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49" priority="199" operator="containsText" text="Error">
      <formula>NOT(ISERROR(SEARCH("Error",I13)))</formula>
    </cfRule>
  </conditionalFormatting>
  <conditionalFormatting sqref="D13:E14">
    <cfRule type="containsBlanks" dxfId="48" priority="193">
      <formula>LEN(TRIM(D13))=0</formula>
    </cfRule>
  </conditionalFormatting>
  <conditionalFormatting sqref="G13">
    <cfRule type="cellIs" dxfId="47" priority="18" operator="lessThanOrEqual">
      <formula>0</formula>
    </cfRule>
  </conditionalFormatting>
  <conditionalFormatting sqref="F13:G13">
    <cfRule type="containsBlanks" dxfId="46" priority="15">
      <formula>LEN(TRIM(F13))=0</formula>
    </cfRule>
  </conditionalFormatting>
  <conditionalFormatting sqref="G14">
    <cfRule type="cellIs" dxfId="45" priority="14" operator="lessThanOrEqual">
      <formula>0</formula>
    </cfRule>
  </conditionalFormatting>
  <conditionalFormatting sqref="F14:G14">
    <cfRule type="containsBlanks" dxfId="44" priority="13">
      <formula>LEN(TRIM(F14))=0</formula>
    </cfRule>
  </conditionalFormatting>
  <conditionalFormatting sqref="B13:C13">
    <cfRule type="containsBlanks" dxfId="43" priority="12">
      <formula>LEN(TRIM(B13))=0</formula>
    </cfRule>
  </conditionalFormatting>
  <conditionalFormatting sqref="B14:C14">
    <cfRule type="containsBlanks" dxfId="42" priority="11">
      <formula>LEN(TRIM(B14))=0</formula>
    </cfRule>
  </conditionalFormatting>
  <conditionalFormatting sqref="I15">
    <cfRule type="containsText" dxfId="41" priority="10" operator="containsText" text="Error">
      <formula>NOT(ISERROR(SEARCH("Error",I15)))</formula>
    </cfRule>
  </conditionalFormatting>
  <conditionalFormatting sqref="D15:E15">
    <cfRule type="containsBlanks" dxfId="40" priority="9">
      <formula>LEN(TRIM(D15))=0</formula>
    </cfRule>
  </conditionalFormatting>
  <conditionalFormatting sqref="G15">
    <cfRule type="cellIs" dxfId="39" priority="8" operator="lessThanOrEqual">
      <formula>0</formula>
    </cfRule>
  </conditionalFormatting>
  <conditionalFormatting sqref="F15:G15">
    <cfRule type="containsBlanks" dxfId="38" priority="7">
      <formula>LEN(TRIM(F15))=0</formula>
    </cfRule>
  </conditionalFormatting>
  <conditionalFormatting sqref="B15:C15">
    <cfRule type="containsBlanks" dxfId="37" priority="6">
      <formula>LEN(TRIM(B15))=0</formula>
    </cfRule>
  </conditionalFormatting>
  <conditionalFormatting sqref="I16">
    <cfRule type="containsText" dxfId="36" priority="5" operator="containsText" text="Error">
      <formula>NOT(ISERROR(SEARCH("Error",I16)))</formula>
    </cfRule>
  </conditionalFormatting>
  <conditionalFormatting sqref="D16:E16">
    <cfRule type="containsBlanks" dxfId="35" priority="4">
      <formula>LEN(TRIM(D16))=0</formula>
    </cfRule>
  </conditionalFormatting>
  <conditionalFormatting sqref="G16">
    <cfRule type="cellIs" dxfId="34" priority="3" operator="lessThanOrEqual">
      <formula>0</formula>
    </cfRule>
  </conditionalFormatting>
  <conditionalFormatting sqref="F16:G16">
    <cfRule type="containsBlanks" dxfId="33" priority="2">
      <formula>LEN(TRIM(F16))=0</formula>
    </cfRule>
  </conditionalFormatting>
  <conditionalFormatting sqref="B16:C16">
    <cfRule type="containsBlanks" dxfId="32" priority="1">
      <formula>LEN(TRIM(B16))=0</formula>
    </cfRule>
  </conditionalFormatting>
  <dataValidations xWindow="126" yWindow="424" count="4">
    <dataValidation type="custom" allowBlank="1" showInputMessage="1" showErrorMessage="1" error="Format error (2 decimals only)" prompt="Please encode amount (2 decimals only)" sqref="G13:G16">
      <formula1>G13=INT(G13*100)/100</formula1>
    </dataValidation>
    <dataValidation allowBlank="1" showInputMessage="1" showErrorMessage="1" error="Please encode Nature, type and specifications" prompt="Please encode Nature, type and specifications" sqref="F13:F16"/>
    <dataValidation type="list" allowBlank="1" showInputMessage="1" showErrorMessage="1" error="Click arrow to select Work Package" prompt="Click arrow to select Work Package" sqref="B13:B16">
      <formula1>WorkPackage</formula1>
    </dataValidation>
    <dataValidation type="list" allowBlank="1" showInputMessage="1" showErrorMessage="1" error="Click arrow to select Partner N°" prompt="Click arrow to select Partner N°" sqref="C13:C16">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2"/>
      <c r="C1" s="172"/>
      <c r="D1" s="172"/>
      <c r="E1" s="172"/>
      <c r="F1" s="172"/>
      <c r="G1" s="172"/>
      <c r="H1" s="172"/>
      <c r="I1" s="172"/>
      <c r="J1" s="172"/>
    </row>
    <row r="2" spans="2:10" s="25" customFormat="1" ht="39.950000000000003" customHeight="1" x14ac:dyDescent="0.25">
      <c r="B2" s="123" t="s">
        <v>201</v>
      </c>
      <c r="C2" s="123"/>
      <c r="D2" s="123"/>
      <c r="E2" s="123"/>
      <c r="F2" s="123"/>
      <c r="G2" s="123"/>
      <c r="H2" s="123"/>
      <c r="I2" s="123"/>
      <c r="J2" s="123"/>
    </row>
    <row r="3" spans="2:10" s="25" customFormat="1" ht="8.1" customHeight="1" x14ac:dyDescent="0.25">
      <c r="B3" s="142"/>
      <c r="C3" s="143"/>
      <c r="D3" s="143"/>
      <c r="E3" s="143"/>
      <c r="F3" s="143"/>
      <c r="G3" s="143"/>
      <c r="H3" s="143"/>
      <c r="I3" s="143"/>
      <c r="J3" s="144"/>
    </row>
    <row r="4" spans="2:10" s="25" customFormat="1" ht="9.9499999999999993" customHeight="1" x14ac:dyDescent="0.25">
      <c r="B4" s="186" t="s">
        <v>186</v>
      </c>
      <c r="C4" s="183">
        <f>SUM(I:I)</f>
        <v>0</v>
      </c>
      <c r="D4" s="189"/>
      <c r="E4" s="190"/>
      <c r="F4" s="190"/>
      <c r="G4" s="190"/>
      <c r="H4" s="190"/>
      <c r="I4" s="190"/>
      <c r="J4" s="191"/>
    </row>
    <row r="5" spans="2:10" s="25" customFormat="1" ht="9.9499999999999993" customHeight="1" x14ac:dyDescent="0.25">
      <c r="B5" s="187"/>
      <c r="C5" s="184"/>
      <c r="D5" s="189"/>
      <c r="E5" s="190"/>
      <c r="F5" s="190"/>
      <c r="G5" s="190"/>
      <c r="H5" s="190"/>
      <c r="I5" s="190"/>
      <c r="J5" s="191"/>
    </row>
    <row r="6" spans="2:10" s="25" customFormat="1" ht="9.9499999999999993" customHeight="1" x14ac:dyDescent="0.25">
      <c r="B6" s="187"/>
      <c r="C6" s="184"/>
      <c r="D6" s="189"/>
      <c r="E6" s="190"/>
      <c r="F6" s="190"/>
      <c r="G6" s="190"/>
      <c r="H6" s="190"/>
      <c r="I6" s="190"/>
      <c r="J6" s="191"/>
    </row>
    <row r="7" spans="2:10" s="25" customFormat="1" ht="9.9499999999999993" customHeight="1" x14ac:dyDescent="0.25">
      <c r="B7" s="187"/>
      <c r="C7" s="184"/>
      <c r="D7" s="189"/>
      <c r="E7" s="190"/>
      <c r="F7" s="190"/>
      <c r="G7" s="190"/>
      <c r="H7" s="190"/>
      <c r="I7" s="190"/>
      <c r="J7" s="191"/>
    </row>
    <row r="8" spans="2:10" s="25" customFormat="1" ht="9.9499999999999993" customHeight="1" x14ac:dyDescent="0.25">
      <c r="B8" s="187"/>
      <c r="C8" s="184"/>
      <c r="D8" s="189"/>
      <c r="E8" s="190"/>
      <c r="F8" s="190"/>
      <c r="G8" s="190"/>
      <c r="H8" s="190"/>
      <c r="I8" s="190"/>
      <c r="J8" s="191"/>
    </row>
    <row r="9" spans="2:10" s="25" customFormat="1" ht="9.9499999999999993" customHeight="1" x14ac:dyDescent="0.25">
      <c r="B9" s="188"/>
      <c r="C9" s="185"/>
      <c r="D9" s="189"/>
      <c r="E9" s="190"/>
      <c r="F9" s="190"/>
      <c r="G9" s="190"/>
      <c r="H9" s="190"/>
      <c r="I9" s="190"/>
      <c r="J9" s="191"/>
    </row>
    <row r="10" spans="2:10" s="25" customFormat="1" ht="8.1" customHeight="1" x14ac:dyDescent="0.25">
      <c r="B10" s="134"/>
      <c r="C10" s="141"/>
      <c r="D10" s="141"/>
      <c r="E10" s="141"/>
      <c r="F10" s="141"/>
      <c r="G10" s="141"/>
      <c r="H10" s="141"/>
      <c r="I10" s="141"/>
      <c r="J10" s="135"/>
    </row>
    <row r="11" spans="2:10" s="53" customFormat="1" ht="42" customHeight="1" x14ac:dyDescent="0.25">
      <c r="B11" s="124" t="s">
        <v>149</v>
      </c>
      <c r="C11" s="124" t="s">
        <v>218</v>
      </c>
      <c r="D11" s="124" t="s">
        <v>219</v>
      </c>
      <c r="E11" s="124" t="s">
        <v>190</v>
      </c>
      <c r="F11" s="126" t="s">
        <v>191</v>
      </c>
      <c r="G11" s="126" t="s">
        <v>192</v>
      </c>
      <c r="H11" s="160" t="s">
        <v>167</v>
      </c>
      <c r="I11" s="160" t="s">
        <v>166</v>
      </c>
      <c r="J11" s="160" t="s">
        <v>220</v>
      </c>
    </row>
    <row r="12" spans="2:10" ht="23.85" customHeight="1" x14ac:dyDescent="0.25">
      <c r="B12" s="125"/>
      <c r="C12" s="125"/>
      <c r="D12" s="125"/>
      <c r="E12" s="125"/>
      <c r="F12" s="125"/>
      <c r="G12" s="125"/>
      <c r="H12" s="125"/>
      <c r="I12" s="125"/>
      <c r="J12" s="125"/>
    </row>
    <row r="13" spans="2:10" s="41" customFormat="1" hidden="1" x14ac:dyDescent="0.25">
      <c r="B13" s="24"/>
      <c r="C13" s="50" t="str">
        <f>IFERROR(IF(VLOOKUP(B13,PartnerN°Ref,2,FALSE)=0,"",VLOOKUP(B13,PartnerN°Ref,2,FALSE)),"")</f>
        <v/>
      </c>
      <c r="D13" s="50" t="str">
        <f>IFERROR(IF(OR(VLOOKUP(B13,PartnerN°Ref,4,FALSE)="Country not found",VLOOKUP(B13,PartnerN°Ref,3,FALSE)=0),"",VLOOKUP(B13,PartnerN°Ref,3,FALSE)),"")</f>
        <v/>
      </c>
      <c r="E13" s="23"/>
      <c r="F13" s="23"/>
      <c r="G13" s="23"/>
      <c r="H13" s="42">
        <v>0</v>
      </c>
      <c r="I13" s="43">
        <f>IF(J13="Error",0,ROUND(H13,2))</f>
        <v>0</v>
      </c>
      <c r="J13" s="40" t="str">
        <f>IF(OR(COUNTIF(PartnerN°,B13)=0,C13="",COUNTIF(CountryALL,D13)=0,E13="",F13="",G13="",ISNUMBER(H13)=FALSE,IF(ISNUMBER(H13)=TRUE,H13=INT(H13*100)/100=FALSE)),"Error","")</f>
        <v>Error</v>
      </c>
    </row>
    <row r="14" spans="2:10" s="41" customFormat="1" x14ac:dyDescent="0.25">
      <c r="B14" s="24"/>
      <c r="C14" s="50" t="str">
        <f>IFERROR(IF(VLOOKUP(B14,PartnerN°Ref,2,FALSE)=0,"",VLOOKUP(B14,PartnerN°Ref,2,FALSE)),"")</f>
        <v/>
      </c>
      <c r="D14" s="50" t="str">
        <f>IFERROR(IF(OR(VLOOKUP(B14,PartnerN°Ref,4,FALSE)="Country not found",VLOOKUP(B14,PartnerN°Ref,3,FALSE)=0),"",VLOOKUP(B14,PartnerN°Ref,3,FALSE)),"")</f>
        <v/>
      </c>
      <c r="E14" s="23"/>
      <c r="F14" s="23"/>
      <c r="G14" s="23"/>
      <c r="H14" s="42">
        <v>0</v>
      </c>
      <c r="I14" s="43">
        <f>IF(J14="Error",0,ROUND(H14,2))</f>
        <v>0</v>
      </c>
      <c r="J14" s="40" t="str">
        <f>IF(OR(COUNTIF(PartnerN°,B14)=0,C14="",COUNTIF(CountryALL,D14)=0,E14="",F14="",G14="",ISNUMBER(H14)=FALSE,IF(ISNUMBER(H14)=TRUE,H14=INT(H14*100)/100=FALSE)),"Error","")</f>
        <v>Error</v>
      </c>
    </row>
    <row r="16" spans="2:10" x14ac:dyDescent="0.25">
      <c r="B16" s="47" t="s">
        <v>221</v>
      </c>
    </row>
    <row r="17" spans="2:2" x14ac:dyDescent="0.25">
      <c r="B17" s="47" t="s">
        <v>222</v>
      </c>
    </row>
    <row r="18" spans="2:2" x14ac:dyDescent="0.25">
      <c r="B18" s="47" t="s">
        <v>223</v>
      </c>
    </row>
  </sheetData>
  <sheetProtection password="E359"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1" priority="144" operator="containsText" text="Error">
      <formula>NOT(ISERROR(SEARCH("Error",J13)))</formula>
    </cfRule>
  </conditionalFormatting>
  <conditionalFormatting sqref="C13:D14">
    <cfRule type="containsBlanks" dxfId="30" priority="137">
      <formula>LEN(TRIM(C13))=0</formula>
    </cfRule>
  </conditionalFormatting>
  <conditionalFormatting sqref="H13">
    <cfRule type="cellIs" dxfId="29" priority="8" operator="lessThanOrEqual">
      <formula>0</formula>
    </cfRule>
  </conditionalFormatting>
  <conditionalFormatting sqref="E13:H13">
    <cfRule type="containsBlanks" dxfId="28" priority="5">
      <formula>LEN(TRIM(E13))=0</formula>
    </cfRule>
  </conditionalFormatting>
  <conditionalFormatting sqref="H14">
    <cfRule type="cellIs" dxfId="27" priority="4" operator="lessThanOrEqual">
      <formula>0</formula>
    </cfRule>
  </conditionalFormatting>
  <conditionalFormatting sqref="E14:H14">
    <cfRule type="containsBlanks" dxfId="26" priority="3">
      <formula>LEN(TRIM(E14))=0</formula>
    </cfRule>
  </conditionalFormatting>
  <conditionalFormatting sqref="B13">
    <cfRule type="containsBlanks" dxfId="25" priority="2">
      <formula>LEN(TRIM(B13))=0</formula>
    </cfRule>
  </conditionalFormatting>
  <conditionalFormatting sqref="B14">
    <cfRule type="containsBlanks" dxfId="24"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2"/>
      <c r="C1" s="172"/>
      <c r="D1" s="172"/>
      <c r="E1" s="172"/>
      <c r="F1" s="172"/>
      <c r="G1" s="172"/>
      <c r="H1" s="172"/>
      <c r="I1" s="172"/>
    </row>
    <row r="2" spans="2:9" s="25" customFormat="1" ht="30" customHeight="1" x14ac:dyDescent="0.25">
      <c r="B2" s="123" t="s">
        <v>180</v>
      </c>
      <c r="C2" s="123"/>
      <c r="D2" s="123"/>
      <c r="E2" s="123"/>
      <c r="F2" s="123"/>
      <c r="G2" s="123"/>
      <c r="H2" s="123"/>
      <c r="I2" s="123"/>
    </row>
    <row r="3" spans="2:9" s="25" customFormat="1" ht="8.1" customHeight="1" x14ac:dyDescent="0.25">
      <c r="B3" s="202"/>
      <c r="C3" s="202"/>
      <c r="D3" s="202"/>
      <c r="E3" s="202"/>
      <c r="F3" s="202"/>
      <c r="G3" s="202"/>
      <c r="H3" s="202"/>
      <c r="I3" s="202"/>
    </row>
    <row r="4" spans="2:9" s="53" customFormat="1" ht="42" customHeight="1" x14ac:dyDescent="0.25">
      <c r="B4" s="52" t="s">
        <v>164</v>
      </c>
      <c r="C4" s="16" t="s">
        <v>193</v>
      </c>
      <c r="D4" s="16" t="s">
        <v>194</v>
      </c>
      <c r="E4" s="16" t="s">
        <v>202</v>
      </c>
      <c r="F4" s="16" t="s">
        <v>203</v>
      </c>
      <c r="G4" s="16" t="s">
        <v>204</v>
      </c>
      <c r="H4" s="17" t="s">
        <v>338</v>
      </c>
      <c r="I4" s="16" t="s">
        <v>166</v>
      </c>
    </row>
    <row r="5" spans="2:9" x14ac:dyDescent="0.25">
      <c r="B5" s="89" t="str">
        <f>'Unit Costs &amp; Funding Rule'!P10</f>
        <v>Preparation</v>
      </c>
      <c r="C5" s="26">
        <f>SUMIF('1. Staff costs'!B:B,B5,'1. Staff costs'!S:S)</f>
        <v>60660</v>
      </c>
      <c r="D5" s="26">
        <f>SUMIF('2-3. Travel Costs&amp;Costs of Stay'!B:B,B5,'2-3. Travel Costs&amp;Costs of Stay'!L:L)</f>
        <v>0</v>
      </c>
      <c r="E5" s="27">
        <f>SUMIF('2-3. Travel Costs&amp;Costs of Stay'!B:B,B5,'2-3. Travel Costs&amp;Costs of Stay'!M:M)</f>
        <v>0</v>
      </c>
      <c r="F5" s="27">
        <f>SUMIF('4. Equipment Costs'!B:B,B5,'4. Equipment Costs'!H:H)</f>
        <v>150000</v>
      </c>
      <c r="G5" s="27">
        <f>SUMIF('5. Subcontracting Costs'!B:B,B5,'5. Subcontracting Costs'!H:H)</f>
        <v>0</v>
      </c>
      <c r="H5" s="193"/>
      <c r="I5" s="28">
        <f>SUM(C5:G5)</f>
        <v>210660</v>
      </c>
    </row>
    <row r="6" spans="2:9" ht="16.5" customHeight="1" x14ac:dyDescent="0.25">
      <c r="B6" s="89" t="str">
        <f>'Unit Costs &amp; Funding Rule'!P11</f>
        <v>Development</v>
      </c>
      <c r="C6" s="26">
        <f>SUMIF('1. Staff costs'!B:B,B6,'1. Staff costs'!S:S)</f>
        <v>46410</v>
      </c>
      <c r="D6" s="26">
        <f>SUMIF('2-3. Travel Costs&amp;Costs of Stay'!B:B,B6,'2-3. Travel Costs&amp;Costs of Stay'!L:L)</f>
        <v>65600</v>
      </c>
      <c r="E6" s="27">
        <f>SUMIF('2-3. Travel Costs&amp;Costs of Stay'!B:B,B6,'2-3. Travel Costs&amp;Costs of Stay'!M:M)</f>
        <v>224000</v>
      </c>
      <c r="F6" s="27">
        <f>SUMIF('4. Equipment Costs'!B:B,B6,'4. Equipment Costs'!H:H)</f>
        <v>20000</v>
      </c>
      <c r="G6" s="27">
        <f>SUMIF('5. Subcontracting Costs'!B:B,B6,'5. Subcontracting Costs'!H:H)</f>
        <v>30000</v>
      </c>
      <c r="H6" s="194"/>
      <c r="I6" s="28">
        <f t="shared" ref="I6:I9" si="0">SUM(C6:G6)</f>
        <v>386010</v>
      </c>
    </row>
    <row r="7" spans="2:9" ht="16.5" customHeight="1" x14ac:dyDescent="0.25">
      <c r="B7" s="89" t="str">
        <f>'Unit Costs &amp; Funding Rule'!P12</f>
        <v>Quality Plan</v>
      </c>
      <c r="C7" s="26">
        <f>SUMIF('1. Staff costs'!B:B,B7,'1. Staff costs'!S:S)</f>
        <v>22400</v>
      </c>
      <c r="D7" s="26">
        <f>SUMIF('2-3. Travel Costs&amp;Costs of Stay'!B:B,B7,'2-3. Travel Costs&amp;Costs of Stay'!L:L)</f>
        <v>0</v>
      </c>
      <c r="E7" s="27">
        <f>SUMIF('2-3. Travel Costs&amp;Costs of Stay'!B:B,B7,'2-3. Travel Costs&amp;Costs of Stay'!M:M)</f>
        <v>0</v>
      </c>
      <c r="F7" s="27">
        <f>SUMIF('4. Equipment Costs'!B:B,B7,'4. Equipment Costs'!H:H)</f>
        <v>0</v>
      </c>
      <c r="G7" s="27">
        <f>SUMIF('5. Subcontracting Costs'!B:B,B7,'5. Subcontracting Costs'!H:H)</f>
        <v>20000</v>
      </c>
      <c r="H7" s="194"/>
      <c r="I7" s="28">
        <f t="shared" si="0"/>
        <v>42400</v>
      </c>
    </row>
    <row r="8" spans="2:9" ht="16.5" customHeight="1" x14ac:dyDescent="0.25">
      <c r="B8" s="89" t="str">
        <f>'Unit Costs &amp; Funding Rule'!P13</f>
        <v>Dissemination &amp; Exploitation</v>
      </c>
      <c r="C8" s="26">
        <f>SUMIF('1. Staff costs'!B:B,B8,'1. Staff costs'!S:S)</f>
        <v>45240</v>
      </c>
      <c r="D8" s="26">
        <f>SUMIF('2-3. Travel Costs&amp;Costs of Stay'!B:B,B8,'2-3. Travel Costs&amp;Costs of Stay'!L:L)</f>
        <v>0</v>
      </c>
      <c r="E8" s="27">
        <f>SUMIF('2-3. Travel Costs&amp;Costs of Stay'!B:B,B8,'2-3. Travel Costs&amp;Costs of Stay'!M:M)</f>
        <v>0</v>
      </c>
      <c r="F8" s="27">
        <f>SUMIF('4. Equipment Costs'!B:B,B8,'4. Equipment Costs'!H:H)</f>
        <v>0</v>
      </c>
      <c r="G8" s="27">
        <f>SUMIF('5. Subcontracting Costs'!B:B,B8,'5. Subcontracting Costs'!H:H)</f>
        <v>0</v>
      </c>
      <c r="H8" s="194"/>
      <c r="I8" s="28">
        <f t="shared" si="0"/>
        <v>45240</v>
      </c>
    </row>
    <row r="9" spans="2:9" ht="16.5" customHeight="1" x14ac:dyDescent="0.25">
      <c r="B9" s="89" t="str">
        <f>'Unit Costs &amp; Funding Rule'!P14</f>
        <v>Management</v>
      </c>
      <c r="C9" s="26">
        <f>SUMIF('1. Staff costs'!B:B,B9,'1. Staff costs'!S:S)</f>
        <v>77760</v>
      </c>
      <c r="D9" s="26">
        <f>SUMIF('2-3. Travel Costs&amp;Costs of Stay'!B:B,B9,'2-3. Travel Costs&amp;Costs of Stay'!L:L)</f>
        <v>0</v>
      </c>
      <c r="E9" s="27">
        <f>SUMIF('2-3. Travel Costs&amp;Costs of Stay'!B:B,B9,'2-3. Travel Costs&amp;Costs of Stay'!M:M)</f>
        <v>0</v>
      </c>
      <c r="F9" s="27">
        <f>SUMIF('4. Equipment Costs'!B:B,B9,'4. Equipment Costs'!H:H)</f>
        <v>0</v>
      </c>
      <c r="G9" s="27">
        <f>SUMIF('5. Subcontracting Costs'!B:B,B9,'5. Subcontracting Costs'!H:H)</f>
        <v>0</v>
      </c>
      <c r="H9" s="195"/>
      <c r="I9" s="28">
        <f t="shared" si="0"/>
        <v>77760</v>
      </c>
    </row>
    <row r="10" spans="2:9" x14ac:dyDescent="0.25">
      <c r="B10" s="51" t="s">
        <v>1</v>
      </c>
      <c r="C10" s="28">
        <f t="shared" ref="C10:F10" si="1">SUM(C5:C9)</f>
        <v>252470</v>
      </c>
      <c r="D10" s="28">
        <f t="shared" si="1"/>
        <v>65600</v>
      </c>
      <c r="E10" s="28">
        <f t="shared" si="1"/>
        <v>224000</v>
      </c>
      <c r="F10" s="28">
        <f t="shared" si="1"/>
        <v>170000</v>
      </c>
      <c r="G10" s="28">
        <f>SUM(G5:G9)</f>
        <v>50000</v>
      </c>
      <c r="H10" s="28">
        <f>IF(OR(Overview!C26="",Overview!D26=""),0,'2-3. Travel Costs&amp;Costs of Stay'!J4)</f>
        <v>0</v>
      </c>
      <c r="I10" s="22">
        <f>SUM(C10:H10)</f>
        <v>762070</v>
      </c>
    </row>
    <row r="11" spans="2:9" ht="20.100000000000001" customHeight="1" x14ac:dyDescent="0.25">
      <c r="B11" s="201"/>
      <c r="C11" s="201"/>
      <c r="D11" s="201"/>
      <c r="E11" s="201"/>
      <c r="F11" s="201"/>
      <c r="G11" s="201"/>
      <c r="H11" s="201"/>
      <c r="I11" s="201"/>
    </row>
    <row r="12" spans="2:9" ht="30" customHeight="1" x14ac:dyDescent="0.25">
      <c r="B12" s="123" t="s">
        <v>205</v>
      </c>
      <c r="C12" s="123"/>
      <c r="D12" s="123"/>
      <c r="E12" s="123"/>
      <c r="F12" s="123"/>
      <c r="G12" s="123"/>
      <c r="H12" s="123"/>
      <c r="I12" s="123"/>
    </row>
    <row r="13" spans="2:9" ht="8.1" customHeight="1" x14ac:dyDescent="0.25">
      <c r="B13" s="192"/>
      <c r="C13" s="192"/>
      <c r="D13" s="192"/>
      <c r="E13" s="192"/>
      <c r="F13" s="192"/>
      <c r="G13" s="192"/>
      <c r="H13" s="192"/>
      <c r="I13" s="192"/>
    </row>
    <row r="14" spans="2:9" ht="72" x14ac:dyDescent="0.25">
      <c r="B14" s="52" t="s">
        <v>179</v>
      </c>
      <c r="C14" s="16" t="s">
        <v>193</v>
      </c>
      <c r="D14" s="16" t="s">
        <v>350</v>
      </c>
      <c r="E14" s="16" t="s">
        <v>202</v>
      </c>
      <c r="F14" s="16" t="s">
        <v>203</v>
      </c>
      <c r="G14" s="16" t="s">
        <v>204</v>
      </c>
      <c r="H14" s="197" t="s">
        <v>166</v>
      </c>
      <c r="I14" s="198"/>
    </row>
    <row r="15" spans="2:9" x14ac:dyDescent="0.25">
      <c r="B15" s="89" t="s">
        <v>198</v>
      </c>
      <c r="C15" s="26">
        <f>SUMIF(Overview!$E$26:$E$80,B15,Overview!$F$26:$F$80)</f>
        <v>126680</v>
      </c>
      <c r="D15" s="26">
        <f>SUMIF(Overview!$E$26:$E$80,B15,Overview!$G$26:$G$80)</f>
        <v>41000</v>
      </c>
      <c r="E15" s="26">
        <f>SUMIF(Overview!$E$26:$E$80,B15,Overview!$H$26:$H$80)</f>
        <v>140000</v>
      </c>
      <c r="F15" s="26">
        <f>SUMIF(Overview!$E$26:$E$80,B15,Overview!$I$26:$I$80)</f>
        <v>0</v>
      </c>
      <c r="G15" s="26">
        <f>SUMIF(Overview!$E$26:$E$80,B15,Overview!$J$26:$J$80)</f>
        <v>20000</v>
      </c>
      <c r="H15" s="199">
        <f>SUM(C15:G15)</f>
        <v>327680</v>
      </c>
      <c r="I15" s="199"/>
    </row>
    <row r="16" spans="2:9" x14ac:dyDescent="0.25">
      <c r="B16" s="89" t="s">
        <v>199</v>
      </c>
      <c r="C16" s="26">
        <f>SUMIF(Overview!$E$26:$E$80,B16,Overview!$F$26:$F$80)</f>
        <v>125790</v>
      </c>
      <c r="D16" s="26">
        <f>SUMIF(Overview!$E$26:$E$80,B16,Overview!$G$26:$G$80)</f>
        <v>24600</v>
      </c>
      <c r="E16" s="26">
        <f>SUMIF(Overview!$E$26:$E$80,B16,Overview!$H$26:$H$80)</f>
        <v>84000</v>
      </c>
      <c r="F16" s="26">
        <f>SUMIF(Overview!$E$26:$E$80,B16,Overview!$I$26:$I$80)</f>
        <v>170000</v>
      </c>
      <c r="G16" s="26">
        <f>SUMIF(Overview!$E$26:$E$80,B16,Overview!$J$26:$J$80)</f>
        <v>30000</v>
      </c>
      <c r="H16" s="199">
        <f>SUM(C16:G16)</f>
        <v>434390</v>
      </c>
      <c r="I16" s="199"/>
    </row>
    <row r="17" spans="2:9" x14ac:dyDescent="0.25">
      <c r="B17" s="51" t="s">
        <v>1</v>
      </c>
      <c r="C17" s="28">
        <f t="shared" ref="C17:G17" si="2">SUM(C15:C16)</f>
        <v>252470</v>
      </c>
      <c r="D17" s="28">
        <f t="shared" si="2"/>
        <v>65600</v>
      </c>
      <c r="E17" s="28">
        <f t="shared" si="2"/>
        <v>224000</v>
      </c>
      <c r="F17" s="28">
        <f t="shared" si="2"/>
        <v>170000</v>
      </c>
      <c r="G17" s="28">
        <f t="shared" si="2"/>
        <v>50000</v>
      </c>
      <c r="H17" s="200">
        <f>SUM(C17:G17)</f>
        <v>762070</v>
      </c>
      <c r="I17" s="200"/>
    </row>
    <row r="18" spans="2:9" ht="20.100000000000001" customHeight="1" x14ac:dyDescent="0.25">
      <c r="B18" s="196"/>
      <c r="C18" s="196"/>
      <c r="D18" s="196"/>
      <c r="E18" s="196"/>
      <c r="F18" s="196"/>
      <c r="G18" s="196"/>
      <c r="H18" s="196"/>
      <c r="I18" s="196"/>
    </row>
    <row r="19" spans="2:9" ht="30" customHeight="1" x14ac:dyDescent="0.25">
      <c r="B19" s="123" t="s">
        <v>207</v>
      </c>
      <c r="C19" s="123"/>
      <c r="D19" s="123"/>
      <c r="E19" s="123"/>
      <c r="F19" s="123"/>
      <c r="G19" s="123"/>
      <c r="H19" s="123"/>
      <c r="I19" s="123"/>
    </row>
    <row r="20" spans="2:9" ht="8.1" customHeight="1" x14ac:dyDescent="0.25">
      <c r="B20" s="192"/>
      <c r="C20" s="192"/>
      <c r="D20" s="192"/>
      <c r="E20" s="192"/>
      <c r="F20" s="192"/>
      <c r="G20" s="192"/>
      <c r="H20" s="192"/>
      <c r="I20" s="192"/>
    </row>
    <row r="21" spans="2:9" ht="54" customHeight="1" x14ac:dyDescent="0.2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2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108000</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143730</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11400</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0</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77760</v>
      </c>
      <c r="H22" s="27">
        <f>IF(OR(Overview!C26="",Overview!D26=""),0,'2-3. Travel Costs&amp;Costs of Stay'!J4)</f>
        <v>0</v>
      </c>
      <c r="I22" s="29">
        <f>SUM(C22:H22)</f>
        <v>340890</v>
      </c>
    </row>
    <row r="23" spans="2:9" x14ac:dyDescent="0.2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56400</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27980</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0</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9120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0</v>
      </c>
      <c r="H23" s="27">
        <v>0</v>
      </c>
      <c r="I23" s="29">
        <f t="shared" ref="I23:I76" si="3">SUM(C23:H23)</f>
        <v>93500</v>
      </c>
    </row>
    <row r="24" spans="2:9" x14ac:dyDescent="0.2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5920</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10450</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20000</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11000</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0</v>
      </c>
      <c r="H24" s="27">
        <v>0</v>
      </c>
      <c r="I24" s="29">
        <f t="shared" si="3"/>
        <v>47370</v>
      </c>
    </row>
    <row r="25" spans="2:9" x14ac:dyDescent="0.3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13700</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10200</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0</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16320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0</v>
      </c>
      <c r="H25" s="27">
        <v>0</v>
      </c>
      <c r="I25" s="29">
        <f t="shared" si="3"/>
        <v>40220</v>
      </c>
    </row>
    <row r="26" spans="2:9" x14ac:dyDescent="0.3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7400</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185950</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11000</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8800</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0</v>
      </c>
      <c r="H26" s="27">
        <v>0</v>
      </c>
      <c r="I26" s="29">
        <f t="shared" si="3"/>
        <v>213150</v>
      </c>
    </row>
    <row r="27" spans="2:9" x14ac:dyDescent="0.2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19240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7700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26940</v>
      </c>
    </row>
    <row r="28" spans="2:9" x14ac:dyDescent="0.2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2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2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2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2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2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2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2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2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2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2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2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2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2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2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2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2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2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2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2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2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2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2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2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2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2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2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2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2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2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2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2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2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2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2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2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2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2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2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2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2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2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2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2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2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2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2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2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2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25">
      <c r="B77" s="57" t="s">
        <v>1</v>
      </c>
      <c r="C77" s="28">
        <f>SUM(C22:C76)</f>
        <v>210660</v>
      </c>
      <c r="D77" s="28">
        <f t="shared" ref="D77:G77" si="4">SUM(D22:D76)</f>
        <v>386010</v>
      </c>
      <c r="E77" s="28">
        <f t="shared" si="4"/>
        <v>42400</v>
      </c>
      <c r="F77" s="28">
        <f t="shared" si="4"/>
        <v>45240</v>
      </c>
      <c r="G77" s="28">
        <f t="shared" si="4"/>
        <v>77760</v>
      </c>
      <c r="H77" s="90">
        <f>SUM(H22:H76)</f>
        <v>0</v>
      </c>
      <c r="I77" s="30">
        <f>SUM(C77:H77)</f>
        <v>762070</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23" priority="136" stopIfTrue="1" operator="equal">
      <formula>"&gt; 30 %"</formula>
    </cfRule>
  </conditionalFormatting>
  <conditionalFormatting sqref="C4:E4 D14:E14">
    <cfRule type="cellIs" dxfId="22" priority="49" stopIfTrue="1" operator="equal">
      <formula>"ERROR"</formula>
    </cfRule>
  </conditionalFormatting>
  <conditionalFormatting sqref="F4">
    <cfRule type="cellIs" dxfId="21" priority="47" stopIfTrue="1" operator="equal">
      <formula>"ERROR"</formula>
    </cfRule>
  </conditionalFormatting>
  <conditionalFormatting sqref="G4">
    <cfRule type="cellIs" dxfId="20" priority="46" stopIfTrue="1" operator="equal">
      <formula>"ERROR"</formula>
    </cfRule>
  </conditionalFormatting>
  <conditionalFormatting sqref="I4">
    <cfRule type="cellIs" dxfId="19" priority="45" stopIfTrue="1" operator="equal">
      <formula>"ERROR"</formula>
    </cfRule>
  </conditionalFormatting>
  <conditionalFormatting sqref="B12">
    <cfRule type="cellIs" dxfId="18" priority="30" stopIfTrue="1" operator="equal">
      <formula>"&gt; 30 %"</formula>
    </cfRule>
  </conditionalFormatting>
  <conditionalFormatting sqref="H14">
    <cfRule type="cellIs" dxfId="17" priority="31" stopIfTrue="1" operator="equal">
      <formula>"ERROR"</formula>
    </cfRule>
  </conditionalFormatting>
  <conditionalFormatting sqref="B10">
    <cfRule type="cellIs" dxfId="16" priority="26" stopIfTrue="1" operator="equal">
      <formula>"ERROR"</formula>
    </cfRule>
  </conditionalFormatting>
  <conditionalFormatting sqref="B17">
    <cfRule type="cellIs" dxfId="15" priority="25" stopIfTrue="1" operator="equal">
      <formula>"ERROR"</formula>
    </cfRule>
  </conditionalFormatting>
  <conditionalFormatting sqref="C14">
    <cfRule type="cellIs" dxfId="14" priority="16" stopIfTrue="1" operator="equal">
      <formula>"ERROR"</formula>
    </cfRule>
  </conditionalFormatting>
  <conditionalFormatting sqref="F14">
    <cfRule type="cellIs" dxfId="13" priority="14" stopIfTrue="1" operator="equal">
      <formula>"ERROR"</formula>
    </cfRule>
  </conditionalFormatting>
  <conditionalFormatting sqref="G14">
    <cfRule type="cellIs" dxfId="12" priority="13" stopIfTrue="1" operator="equal">
      <formula>"ERROR"</formula>
    </cfRule>
  </conditionalFormatting>
  <conditionalFormatting sqref="B19">
    <cfRule type="cellIs" dxfId="11" priority="11" stopIfTrue="1" operator="equal">
      <formula>"&gt; 30 %"</formula>
    </cfRule>
  </conditionalFormatting>
  <conditionalFormatting sqref="I21">
    <cfRule type="cellIs" dxfId="10" priority="8" stopIfTrue="1" operator="equal">
      <formula>"ERROR"</formula>
    </cfRule>
  </conditionalFormatting>
  <conditionalFormatting sqref="H4">
    <cfRule type="cellIs" dxfId="9" priority="3" stopIfTrue="1" operator="equal">
      <formula>"ERROR"</formula>
    </cfRule>
  </conditionalFormatting>
  <conditionalFormatting sqref="H21">
    <cfRule type="cellIs" dxfId="8"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workbookViewId="0">
      <selection activeCell="C2" sqref="C2"/>
    </sheetView>
  </sheetViews>
  <sheetFormatPr defaultRowHeight="16.5" x14ac:dyDescent="0.3"/>
  <cols>
    <col min="1" max="1" width="1.7109375" style="66" customWidth="1"/>
    <col min="2" max="2" width="40" style="66" customWidth="1"/>
    <col min="3" max="3" width="24" style="66" customWidth="1"/>
    <col min="4" max="7" width="15.85546875" style="66" customWidth="1"/>
    <col min="8" max="8" width="1.7109375" style="66" customWidth="1"/>
    <col min="9" max="10" width="26" style="66" customWidth="1"/>
    <col min="11" max="11" width="1.7109375" style="66" customWidth="1"/>
    <col min="12" max="12" width="18.7109375" style="88" customWidth="1"/>
    <col min="13" max="14" width="18.7109375" style="66" customWidth="1"/>
    <col min="15" max="15" width="1.7109375" style="66" customWidth="1"/>
    <col min="16" max="16" width="28.140625" style="66" bestFit="1" customWidth="1"/>
    <col min="17" max="17" width="20.7109375" style="66" customWidth="1"/>
    <col min="18" max="18" width="1.7109375" style="66" customWidth="1"/>
    <col min="19" max="20" width="25.42578125" style="66" customWidth="1"/>
    <col min="21" max="21" width="20.7109375" style="66" customWidth="1"/>
    <col min="22" max="247" width="9.140625" style="66"/>
    <col min="248" max="248" width="40" style="66" customWidth="1"/>
    <col min="249" max="249" width="11.5703125" style="66" customWidth="1"/>
    <col min="250" max="250" width="24" style="66" customWidth="1"/>
    <col min="251" max="254" width="15.85546875" style="66" customWidth="1"/>
    <col min="255" max="255" width="1.7109375" style="66" customWidth="1"/>
    <col min="256" max="257" width="26" style="66" customWidth="1"/>
    <col min="258" max="258" width="1.7109375" style="66" customWidth="1"/>
    <col min="259" max="261" width="18.7109375" style="66" customWidth="1"/>
    <col min="262" max="262" width="1.7109375" style="66" customWidth="1"/>
    <col min="263" max="263" width="25.42578125" style="66" customWidth="1"/>
    <col min="264" max="264" width="20.7109375" style="66" customWidth="1"/>
    <col min="265" max="265" width="1.7109375" style="66" customWidth="1"/>
    <col min="266" max="267" width="25.42578125" style="66" customWidth="1"/>
    <col min="268" max="268" width="20.7109375" style="66" customWidth="1"/>
    <col min="269" max="269" width="1.7109375" style="66" customWidth="1"/>
    <col min="270" max="270" width="41.5703125" style="66" customWidth="1"/>
    <col min="271" max="271" width="11.5703125" style="66" customWidth="1"/>
    <col min="272" max="272" width="23" style="66" customWidth="1"/>
    <col min="273" max="276" width="18.7109375" style="66" customWidth="1"/>
    <col min="277" max="277" width="1.7109375" style="66" customWidth="1"/>
    <col min="278" max="503" width="9.140625" style="66"/>
    <col min="504" max="504" width="40" style="66" customWidth="1"/>
    <col min="505" max="505" width="11.5703125" style="66" customWidth="1"/>
    <col min="506" max="506" width="24" style="66" customWidth="1"/>
    <col min="507" max="510" width="15.85546875" style="66" customWidth="1"/>
    <col min="511" max="511" width="1.7109375" style="66" customWidth="1"/>
    <col min="512" max="513" width="26" style="66" customWidth="1"/>
    <col min="514" max="514" width="1.7109375" style="66" customWidth="1"/>
    <col min="515" max="517" width="18.7109375" style="66" customWidth="1"/>
    <col min="518" max="518" width="1.7109375" style="66" customWidth="1"/>
    <col min="519" max="519" width="25.42578125" style="66" customWidth="1"/>
    <col min="520" max="520" width="20.7109375" style="66" customWidth="1"/>
    <col min="521" max="521" width="1.7109375" style="66" customWidth="1"/>
    <col min="522" max="523" width="25.42578125" style="66" customWidth="1"/>
    <col min="524" max="524" width="20.7109375" style="66" customWidth="1"/>
    <col min="525" max="525" width="1.7109375" style="66" customWidth="1"/>
    <col min="526" max="526" width="41.5703125" style="66" customWidth="1"/>
    <col min="527" max="527" width="11.5703125" style="66" customWidth="1"/>
    <col min="528" max="528" width="23" style="66" customWidth="1"/>
    <col min="529" max="532" width="18.7109375" style="66" customWidth="1"/>
    <col min="533" max="533" width="1.7109375" style="66" customWidth="1"/>
    <col min="534" max="759" width="9.140625" style="66"/>
    <col min="760" max="760" width="40" style="66" customWidth="1"/>
    <col min="761" max="761" width="11.5703125" style="66" customWidth="1"/>
    <col min="762" max="762" width="24" style="66" customWidth="1"/>
    <col min="763" max="766" width="15.85546875" style="66" customWidth="1"/>
    <col min="767" max="767" width="1.7109375" style="66" customWidth="1"/>
    <col min="768" max="769" width="26" style="66" customWidth="1"/>
    <col min="770" max="770" width="1.7109375" style="66" customWidth="1"/>
    <col min="771" max="773" width="18.7109375" style="66" customWidth="1"/>
    <col min="774" max="774" width="1.7109375" style="66" customWidth="1"/>
    <col min="775" max="775" width="25.42578125" style="66" customWidth="1"/>
    <col min="776" max="776" width="20.7109375" style="66" customWidth="1"/>
    <col min="777" max="777" width="1.7109375" style="66" customWidth="1"/>
    <col min="778" max="779" width="25.42578125" style="66" customWidth="1"/>
    <col min="780" max="780" width="20.7109375" style="66" customWidth="1"/>
    <col min="781" max="781" width="1.7109375" style="66" customWidth="1"/>
    <col min="782" max="782" width="41.5703125" style="66" customWidth="1"/>
    <col min="783" max="783" width="11.5703125" style="66" customWidth="1"/>
    <col min="784" max="784" width="23" style="66" customWidth="1"/>
    <col min="785" max="788" width="18.7109375" style="66" customWidth="1"/>
    <col min="789" max="789" width="1.7109375" style="66" customWidth="1"/>
    <col min="790" max="1015" width="9.140625" style="66"/>
    <col min="1016" max="1016" width="40" style="66" customWidth="1"/>
    <col min="1017" max="1017" width="11.5703125" style="66" customWidth="1"/>
    <col min="1018" max="1018" width="24" style="66" customWidth="1"/>
    <col min="1019" max="1022" width="15.85546875" style="66" customWidth="1"/>
    <col min="1023" max="1023" width="1.7109375" style="66" customWidth="1"/>
    <col min="1024" max="1025" width="26" style="66" customWidth="1"/>
    <col min="1026" max="1026" width="1.7109375" style="66" customWidth="1"/>
    <col min="1027" max="1029" width="18.7109375" style="66" customWidth="1"/>
    <col min="1030" max="1030" width="1.7109375" style="66" customWidth="1"/>
    <col min="1031" max="1031" width="25.42578125" style="66" customWidth="1"/>
    <col min="1032" max="1032" width="20.7109375" style="66" customWidth="1"/>
    <col min="1033" max="1033" width="1.7109375" style="66" customWidth="1"/>
    <col min="1034" max="1035" width="25.42578125" style="66" customWidth="1"/>
    <col min="1036" max="1036" width="20.7109375" style="66" customWidth="1"/>
    <col min="1037" max="1037" width="1.7109375" style="66" customWidth="1"/>
    <col min="1038" max="1038" width="41.5703125" style="66" customWidth="1"/>
    <col min="1039" max="1039" width="11.5703125" style="66" customWidth="1"/>
    <col min="1040" max="1040" width="23" style="66" customWidth="1"/>
    <col min="1041" max="1044" width="18.7109375" style="66" customWidth="1"/>
    <col min="1045" max="1045" width="1.7109375" style="66" customWidth="1"/>
    <col min="1046" max="1271" width="9.140625" style="66"/>
    <col min="1272" max="1272" width="40" style="66" customWidth="1"/>
    <col min="1273" max="1273" width="11.5703125" style="66" customWidth="1"/>
    <col min="1274" max="1274" width="24" style="66" customWidth="1"/>
    <col min="1275" max="1278" width="15.85546875" style="66" customWidth="1"/>
    <col min="1279" max="1279" width="1.7109375" style="66" customWidth="1"/>
    <col min="1280" max="1281" width="26" style="66" customWidth="1"/>
    <col min="1282" max="1282" width="1.7109375" style="66" customWidth="1"/>
    <col min="1283" max="1285" width="18.7109375" style="66" customWidth="1"/>
    <col min="1286" max="1286" width="1.7109375" style="66" customWidth="1"/>
    <col min="1287" max="1287" width="25.42578125" style="66" customWidth="1"/>
    <col min="1288" max="1288" width="20.7109375" style="66" customWidth="1"/>
    <col min="1289" max="1289" width="1.7109375" style="66" customWidth="1"/>
    <col min="1290" max="1291" width="25.42578125" style="66" customWidth="1"/>
    <col min="1292" max="1292" width="20.7109375" style="66" customWidth="1"/>
    <col min="1293" max="1293" width="1.7109375" style="66" customWidth="1"/>
    <col min="1294" max="1294" width="41.5703125" style="66" customWidth="1"/>
    <col min="1295" max="1295" width="11.5703125" style="66" customWidth="1"/>
    <col min="1296" max="1296" width="23" style="66" customWidth="1"/>
    <col min="1297" max="1300" width="18.7109375" style="66" customWidth="1"/>
    <col min="1301" max="1301" width="1.7109375" style="66" customWidth="1"/>
    <col min="1302" max="1527" width="9.140625" style="66"/>
    <col min="1528" max="1528" width="40" style="66" customWidth="1"/>
    <col min="1529" max="1529" width="11.5703125" style="66" customWidth="1"/>
    <col min="1530" max="1530" width="24" style="66" customWidth="1"/>
    <col min="1531" max="1534" width="15.85546875" style="66" customWidth="1"/>
    <col min="1535" max="1535" width="1.7109375" style="66" customWidth="1"/>
    <col min="1536" max="1537" width="26" style="66" customWidth="1"/>
    <col min="1538" max="1538" width="1.7109375" style="66" customWidth="1"/>
    <col min="1539" max="1541" width="18.7109375" style="66" customWidth="1"/>
    <col min="1542" max="1542" width="1.7109375" style="66" customWidth="1"/>
    <col min="1543" max="1543" width="25.42578125" style="66" customWidth="1"/>
    <col min="1544" max="1544" width="20.7109375" style="66" customWidth="1"/>
    <col min="1545" max="1545" width="1.7109375" style="66" customWidth="1"/>
    <col min="1546" max="1547" width="25.42578125" style="66" customWidth="1"/>
    <col min="1548" max="1548" width="20.7109375" style="66" customWidth="1"/>
    <col min="1549" max="1549" width="1.7109375" style="66" customWidth="1"/>
    <col min="1550" max="1550" width="41.5703125" style="66" customWidth="1"/>
    <col min="1551" max="1551" width="11.5703125" style="66" customWidth="1"/>
    <col min="1552" max="1552" width="23" style="66" customWidth="1"/>
    <col min="1553" max="1556" width="18.7109375" style="66" customWidth="1"/>
    <col min="1557" max="1557" width="1.7109375" style="66" customWidth="1"/>
    <col min="1558" max="1783" width="9.140625" style="66"/>
    <col min="1784" max="1784" width="40" style="66" customWidth="1"/>
    <col min="1785" max="1785" width="11.5703125" style="66" customWidth="1"/>
    <col min="1786" max="1786" width="24" style="66" customWidth="1"/>
    <col min="1787" max="1790" width="15.85546875" style="66" customWidth="1"/>
    <col min="1791" max="1791" width="1.7109375" style="66" customWidth="1"/>
    <col min="1792" max="1793" width="26" style="66" customWidth="1"/>
    <col min="1794" max="1794" width="1.7109375" style="66" customWidth="1"/>
    <col min="1795" max="1797" width="18.7109375" style="66" customWidth="1"/>
    <col min="1798" max="1798" width="1.7109375" style="66" customWidth="1"/>
    <col min="1799" max="1799" width="25.42578125" style="66" customWidth="1"/>
    <col min="1800" max="1800" width="20.7109375" style="66" customWidth="1"/>
    <col min="1801" max="1801" width="1.7109375" style="66" customWidth="1"/>
    <col min="1802" max="1803" width="25.42578125" style="66" customWidth="1"/>
    <col min="1804" max="1804" width="20.7109375" style="66" customWidth="1"/>
    <col min="1805" max="1805" width="1.7109375" style="66" customWidth="1"/>
    <col min="1806" max="1806" width="41.5703125" style="66" customWidth="1"/>
    <col min="1807" max="1807" width="11.5703125" style="66" customWidth="1"/>
    <col min="1808" max="1808" width="23" style="66" customWidth="1"/>
    <col min="1809" max="1812" width="18.7109375" style="66" customWidth="1"/>
    <col min="1813" max="1813" width="1.7109375" style="66" customWidth="1"/>
    <col min="1814" max="2039" width="9.140625" style="66"/>
    <col min="2040" max="2040" width="40" style="66" customWidth="1"/>
    <col min="2041" max="2041" width="11.5703125" style="66" customWidth="1"/>
    <col min="2042" max="2042" width="24" style="66" customWidth="1"/>
    <col min="2043" max="2046" width="15.85546875" style="66" customWidth="1"/>
    <col min="2047" max="2047" width="1.7109375" style="66" customWidth="1"/>
    <col min="2048" max="2049" width="26" style="66" customWidth="1"/>
    <col min="2050" max="2050" width="1.7109375" style="66" customWidth="1"/>
    <col min="2051" max="2053" width="18.7109375" style="66" customWidth="1"/>
    <col min="2054" max="2054" width="1.7109375" style="66" customWidth="1"/>
    <col min="2055" max="2055" width="25.42578125" style="66" customWidth="1"/>
    <col min="2056" max="2056" width="20.7109375" style="66" customWidth="1"/>
    <col min="2057" max="2057" width="1.7109375" style="66" customWidth="1"/>
    <col min="2058" max="2059" width="25.42578125" style="66" customWidth="1"/>
    <col min="2060" max="2060" width="20.7109375" style="66" customWidth="1"/>
    <col min="2061" max="2061" width="1.7109375" style="66" customWidth="1"/>
    <col min="2062" max="2062" width="41.5703125" style="66" customWidth="1"/>
    <col min="2063" max="2063" width="11.5703125" style="66" customWidth="1"/>
    <col min="2064" max="2064" width="23" style="66" customWidth="1"/>
    <col min="2065" max="2068" width="18.7109375" style="66" customWidth="1"/>
    <col min="2069" max="2069" width="1.7109375" style="66" customWidth="1"/>
    <col min="2070" max="2295" width="9.140625" style="66"/>
    <col min="2296" max="2296" width="40" style="66" customWidth="1"/>
    <col min="2297" max="2297" width="11.5703125" style="66" customWidth="1"/>
    <col min="2298" max="2298" width="24" style="66" customWidth="1"/>
    <col min="2299" max="2302" width="15.85546875" style="66" customWidth="1"/>
    <col min="2303" max="2303" width="1.7109375" style="66" customWidth="1"/>
    <col min="2304" max="2305" width="26" style="66" customWidth="1"/>
    <col min="2306" max="2306" width="1.7109375" style="66" customWidth="1"/>
    <col min="2307" max="2309" width="18.7109375" style="66" customWidth="1"/>
    <col min="2310" max="2310" width="1.7109375" style="66" customWidth="1"/>
    <col min="2311" max="2311" width="25.42578125" style="66" customWidth="1"/>
    <col min="2312" max="2312" width="20.7109375" style="66" customWidth="1"/>
    <col min="2313" max="2313" width="1.7109375" style="66" customWidth="1"/>
    <col min="2314" max="2315" width="25.42578125" style="66" customWidth="1"/>
    <col min="2316" max="2316" width="20.7109375" style="66" customWidth="1"/>
    <col min="2317" max="2317" width="1.7109375" style="66" customWidth="1"/>
    <col min="2318" max="2318" width="41.5703125" style="66" customWidth="1"/>
    <col min="2319" max="2319" width="11.5703125" style="66" customWidth="1"/>
    <col min="2320" max="2320" width="23" style="66" customWidth="1"/>
    <col min="2321" max="2324" width="18.7109375" style="66" customWidth="1"/>
    <col min="2325" max="2325" width="1.7109375" style="66" customWidth="1"/>
    <col min="2326" max="2551" width="9.140625" style="66"/>
    <col min="2552" max="2552" width="40" style="66" customWidth="1"/>
    <col min="2553" max="2553" width="11.5703125" style="66" customWidth="1"/>
    <col min="2554" max="2554" width="24" style="66" customWidth="1"/>
    <col min="2555" max="2558" width="15.85546875" style="66" customWidth="1"/>
    <col min="2559" max="2559" width="1.7109375" style="66" customWidth="1"/>
    <col min="2560" max="2561" width="26" style="66" customWidth="1"/>
    <col min="2562" max="2562" width="1.7109375" style="66" customWidth="1"/>
    <col min="2563" max="2565" width="18.7109375" style="66" customWidth="1"/>
    <col min="2566" max="2566" width="1.7109375" style="66" customWidth="1"/>
    <col min="2567" max="2567" width="25.42578125" style="66" customWidth="1"/>
    <col min="2568" max="2568" width="20.7109375" style="66" customWidth="1"/>
    <col min="2569" max="2569" width="1.7109375" style="66" customWidth="1"/>
    <col min="2570" max="2571" width="25.42578125" style="66" customWidth="1"/>
    <col min="2572" max="2572" width="20.7109375" style="66" customWidth="1"/>
    <col min="2573" max="2573" width="1.7109375" style="66" customWidth="1"/>
    <col min="2574" max="2574" width="41.5703125" style="66" customWidth="1"/>
    <col min="2575" max="2575" width="11.5703125" style="66" customWidth="1"/>
    <col min="2576" max="2576" width="23" style="66" customWidth="1"/>
    <col min="2577" max="2580" width="18.7109375" style="66" customWidth="1"/>
    <col min="2581" max="2581" width="1.7109375" style="66" customWidth="1"/>
    <col min="2582" max="2807" width="9.140625" style="66"/>
    <col min="2808" max="2808" width="40" style="66" customWidth="1"/>
    <col min="2809" max="2809" width="11.5703125" style="66" customWidth="1"/>
    <col min="2810" max="2810" width="24" style="66" customWidth="1"/>
    <col min="2811" max="2814" width="15.85546875" style="66" customWidth="1"/>
    <col min="2815" max="2815" width="1.7109375" style="66" customWidth="1"/>
    <col min="2816" max="2817" width="26" style="66" customWidth="1"/>
    <col min="2818" max="2818" width="1.7109375" style="66" customWidth="1"/>
    <col min="2819" max="2821" width="18.7109375" style="66" customWidth="1"/>
    <col min="2822" max="2822" width="1.7109375" style="66" customWidth="1"/>
    <col min="2823" max="2823" width="25.42578125" style="66" customWidth="1"/>
    <col min="2824" max="2824" width="20.7109375" style="66" customWidth="1"/>
    <col min="2825" max="2825" width="1.7109375" style="66" customWidth="1"/>
    <col min="2826" max="2827" width="25.42578125" style="66" customWidth="1"/>
    <col min="2828" max="2828" width="20.7109375" style="66" customWidth="1"/>
    <col min="2829" max="2829" width="1.7109375" style="66" customWidth="1"/>
    <col min="2830" max="2830" width="41.5703125" style="66" customWidth="1"/>
    <col min="2831" max="2831" width="11.5703125" style="66" customWidth="1"/>
    <col min="2832" max="2832" width="23" style="66" customWidth="1"/>
    <col min="2833" max="2836" width="18.7109375" style="66" customWidth="1"/>
    <col min="2837" max="2837" width="1.7109375" style="66" customWidth="1"/>
    <col min="2838" max="3063" width="9.140625" style="66"/>
    <col min="3064" max="3064" width="40" style="66" customWidth="1"/>
    <col min="3065" max="3065" width="11.5703125" style="66" customWidth="1"/>
    <col min="3066" max="3066" width="24" style="66" customWidth="1"/>
    <col min="3067" max="3070" width="15.85546875" style="66" customWidth="1"/>
    <col min="3071" max="3071" width="1.7109375" style="66" customWidth="1"/>
    <col min="3072" max="3073" width="26" style="66" customWidth="1"/>
    <col min="3074" max="3074" width="1.7109375" style="66" customWidth="1"/>
    <col min="3075" max="3077" width="18.7109375" style="66" customWidth="1"/>
    <col min="3078" max="3078" width="1.7109375" style="66" customWidth="1"/>
    <col min="3079" max="3079" width="25.42578125" style="66" customWidth="1"/>
    <col min="3080" max="3080" width="20.7109375" style="66" customWidth="1"/>
    <col min="3081" max="3081" width="1.7109375" style="66" customWidth="1"/>
    <col min="3082" max="3083" width="25.42578125" style="66" customWidth="1"/>
    <col min="3084" max="3084" width="20.7109375" style="66" customWidth="1"/>
    <col min="3085" max="3085" width="1.7109375" style="66" customWidth="1"/>
    <col min="3086" max="3086" width="41.5703125" style="66" customWidth="1"/>
    <col min="3087" max="3087" width="11.5703125" style="66" customWidth="1"/>
    <col min="3088" max="3088" width="23" style="66" customWidth="1"/>
    <col min="3089" max="3092" width="18.7109375" style="66" customWidth="1"/>
    <col min="3093" max="3093" width="1.7109375" style="66" customWidth="1"/>
    <col min="3094" max="3319" width="9.140625" style="66"/>
    <col min="3320" max="3320" width="40" style="66" customWidth="1"/>
    <col min="3321" max="3321" width="11.5703125" style="66" customWidth="1"/>
    <col min="3322" max="3322" width="24" style="66" customWidth="1"/>
    <col min="3323" max="3326" width="15.85546875" style="66" customWidth="1"/>
    <col min="3327" max="3327" width="1.7109375" style="66" customWidth="1"/>
    <col min="3328" max="3329" width="26" style="66" customWidth="1"/>
    <col min="3330" max="3330" width="1.7109375" style="66" customWidth="1"/>
    <col min="3331" max="3333" width="18.7109375" style="66" customWidth="1"/>
    <col min="3334" max="3334" width="1.7109375" style="66" customWidth="1"/>
    <col min="3335" max="3335" width="25.42578125" style="66" customWidth="1"/>
    <col min="3336" max="3336" width="20.7109375" style="66" customWidth="1"/>
    <col min="3337" max="3337" width="1.7109375" style="66" customWidth="1"/>
    <col min="3338" max="3339" width="25.42578125" style="66" customWidth="1"/>
    <col min="3340" max="3340" width="20.7109375" style="66" customWidth="1"/>
    <col min="3341" max="3341" width="1.7109375" style="66" customWidth="1"/>
    <col min="3342" max="3342" width="41.5703125" style="66" customWidth="1"/>
    <col min="3343" max="3343" width="11.5703125" style="66" customWidth="1"/>
    <col min="3344" max="3344" width="23" style="66" customWidth="1"/>
    <col min="3345" max="3348" width="18.7109375" style="66" customWidth="1"/>
    <col min="3349" max="3349" width="1.7109375" style="66" customWidth="1"/>
    <col min="3350" max="3575" width="9.140625" style="66"/>
    <col min="3576" max="3576" width="40" style="66" customWidth="1"/>
    <col min="3577" max="3577" width="11.5703125" style="66" customWidth="1"/>
    <col min="3578" max="3578" width="24" style="66" customWidth="1"/>
    <col min="3579" max="3582" width="15.85546875" style="66" customWidth="1"/>
    <col min="3583" max="3583" width="1.7109375" style="66" customWidth="1"/>
    <col min="3584" max="3585" width="26" style="66" customWidth="1"/>
    <col min="3586" max="3586" width="1.7109375" style="66" customWidth="1"/>
    <col min="3587" max="3589" width="18.7109375" style="66" customWidth="1"/>
    <col min="3590" max="3590" width="1.7109375" style="66" customWidth="1"/>
    <col min="3591" max="3591" width="25.42578125" style="66" customWidth="1"/>
    <col min="3592" max="3592" width="20.7109375" style="66" customWidth="1"/>
    <col min="3593" max="3593" width="1.7109375" style="66" customWidth="1"/>
    <col min="3594" max="3595" width="25.42578125" style="66" customWidth="1"/>
    <col min="3596" max="3596" width="20.7109375" style="66" customWidth="1"/>
    <col min="3597" max="3597" width="1.7109375" style="66" customWidth="1"/>
    <col min="3598" max="3598" width="41.5703125" style="66" customWidth="1"/>
    <col min="3599" max="3599" width="11.5703125" style="66" customWidth="1"/>
    <col min="3600" max="3600" width="23" style="66" customWidth="1"/>
    <col min="3601" max="3604" width="18.7109375" style="66" customWidth="1"/>
    <col min="3605" max="3605" width="1.7109375" style="66" customWidth="1"/>
    <col min="3606" max="3831" width="9.140625" style="66"/>
    <col min="3832" max="3832" width="40" style="66" customWidth="1"/>
    <col min="3833" max="3833" width="11.5703125" style="66" customWidth="1"/>
    <col min="3834" max="3834" width="24" style="66" customWidth="1"/>
    <col min="3835" max="3838" width="15.85546875" style="66" customWidth="1"/>
    <col min="3839" max="3839" width="1.7109375" style="66" customWidth="1"/>
    <col min="3840" max="3841" width="26" style="66" customWidth="1"/>
    <col min="3842" max="3842" width="1.7109375" style="66" customWidth="1"/>
    <col min="3843" max="3845" width="18.7109375" style="66" customWidth="1"/>
    <col min="3846" max="3846" width="1.7109375" style="66" customWidth="1"/>
    <col min="3847" max="3847" width="25.42578125" style="66" customWidth="1"/>
    <col min="3848" max="3848" width="20.7109375" style="66" customWidth="1"/>
    <col min="3849" max="3849" width="1.7109375" style="66" customWidth="1"/>
    <col min="3850" max="3851" width="25.42578125" style="66" customWidth="1"/>
    <col min="3852" max="3852" width="20.7109375" style="66" customWidth="1"/>
    <col min="3853" max="3853" width="1.7109375" style="66" customWidth="1"/>
    <col min="3854" max="3854" width="41.5703125" style="66" customWidth="1"/>
    <col min="3855" max="3855" width="11.5703125" style="66" customWidth="1"/>
    <col min="3856" max="3856" width="23" style="66" customWidth="1"/>
    <col min="3857" max="3860" width="18.7109375" style="66" customWidth="1"/>
    <col min="3861" max="3861" width="1.7109375" style="66" customWidth="1"/>
    <col min="3862" max="4087" width="9.140625" style="66"/>
    <col min="4088" max="4088" width="40" style="66" customWidth="1"/>
    <col min="4089" max="4089" width="11.5703125" style="66" customWidth="1"/>
    <col min="4090" max="4090" width="24" style="66" customWidth="1"/>
    <col min="4091" max="4094" width="15.85546875" style="66" customWidth="1"/>
    <col min="4095" max="4095" width="1.7109375" style="66" customWidth="1"/>
    <col min="4096" max="4097" width="26" style="66" customWidth="1"/>
    <col min="4098" max="4098" width="1.7109375" style="66" customWidth="1"/>
    <col min="4099" max="4101" width="18.7109375" style="66" customWidth="1"/>
    <col min="4102" max="4102" width="1.7109375" style="66" customWidth="1"/>
    <col min="4103" max="4103" width="25.42578125" style="66" customWidth="1"/>
    <col min="4104" max="4104" width="20.7109375" style="66" customWidth="1"/>
    <col min="4105" max="4105" width="1.7109375" style="66" customWidth="1"/>
    <col min="4106" max="4107" width="25.42578125" style="66" customWidth="1"/>
    <col min="4108" max="4108" width="20.7109375" style="66" customWidth="1"/>
    <col min="4109" max="4109" width="1.7109375" style="66" customWidth="1"/>
    <col min="4110" max="4110" width="41.5703125" style="66" customWidth="1"/>
    <col min="4111" max="4111" width="11.5703125" style="66" customWidth="1"/>
    <col min="4112" max="4112" width="23" style="66" customWidth="1"/>
    <col min="4113" max="4116" width="18.7109375" style="66" customWidth="1"/>
    <col min="4117" max="4117" width="1.7109375" style="66" customWidth="1"/>
    <col min="4118" max="4343" width="9.140625" style="66"/>
    <col min="4344" max="4344" width="40" style="66" customWidth="1"/>
    <col min="4345" max="4345" width="11.5703125" style="66" customWidth="1"/>
    <col min="4346" max="4346" width="24" style="66" customWidth="1"/>
    <col min="4347" max="4350" width="15.85546875" style="66" customWidth="1"/>
    <col min="4351" max="4351" width="1.7109375" style="66" customWidth="1"/>
    <col min="4352" max="4353" width="26" style="66" customWidth="1"/>
    <col min="4354" max="4354" width="1.7109375" style="66" customWidth="1"/>
    <col min="4355" max="4357" width="18.7109375" style="66" customWidth="1"/>
    <col min="4358" max="4358" width="1.7109375" style="66" customWidth="1"/>
    <col min="4359" max="4359" width="25.42578125" style="66" customWidth="1"/>
    <col min="4360" max="4360" width="20.7109375" style="66" customWidth="1"/>
    <col min="4361" max="4361" width="1.7109375" style="66" customWidth="1"/>
    <col min="4362" max="4363" width="25.42578125" style="66" customWidth="1"/>
    <col min="4364" max="4364" width="20.7109375" style="66" customWidth="1"/>
    <col min="4365" max="4365" width="1.7109375" style="66" customWidth="1"/>
    <col min="4366" max="4366" width="41.5703125" style="66" customWidth="1"/>
    <col min="4367" max="4367" width="11.5703125" style="66" customWidth="1"/>
    <col min="4368" max="4368" width="23" style="66" customWidth="1"/>
    <col min="4369" max="4372" width="18.7109375" style="66" customWidth="1"/>
    <col min="4373" max="4373" width="1.7109375" style="66" customWidth="1"/>
    <col min="4374" max="4599" width="9.140625" style="66"/>
    <col min="4600" max="4600" width="40" style="66" customWidth="1"/>
    <col min="4601" max="4601" width="11.5703125" style="66" customWidth="1"/>
    <col min="4602" max="4602" width="24" style="66" customWidth="1"/>
    <col min="4603" max="4606" width="15.85546875" style="66" customWidth="1"/>
    <col min="4607" max="4607" width="1.7109375" style="66" customWidth="1"/>
    <col min="4608" max="4609" width="26" style="66" customWidth="1"/>
    <col min="4610" max="4610" width="1.7109375" style="66" customWidth="1"/>
    <col min="4611" max="4613" width="18.7109375" style="66" customWidth="1"/>
    <col min="4614" max="4614" width="1.7109375" style="66" customWidth="1"/>
    <col min="4615" max="4615" width="25.42578125" style="66" customWidth="1"/>
    <col min="4616" max="4616" width="20.7109375" style="66" customWidth="1"/>
    <col min="4617" max="4617" width="1.7109375" style="66" customWidth="1"/>
    <col min="4618" max="4619" width="25.42578125" style="66" customWidth="1"/>
    <col min="4620" max="4620" width="20.7109375" style="66" customWidth="1"/>
    <col min="4621" max="4621" width="1.7109375" style="66" customWidth="1"/>
    <col min="4622" max="4622" width="41.5703125" style="66" customWidth="1"/>
    <col min="4623" max="4623" width="11.5703125" style="66" customWidth="1"/>
    <col min="4624" max="4624" width="23" style="66" customWidth="1"/>
    <col min="4625" max="4628" width="18.7109375" style="66" customWidth="1"/>
    <col min="4629" max="4629" width="1.7109375" style="66" customWidth="1"/>
    <col min="4630" max="4855" width="9.140625" style="66"/>
    <col min="4856" max="4856" width="40" style="66" customWidth="1"/>
    <col min="4857" max="4857" width="11.5703125" style="66" customWidth="1"/>
    <col min="4858" max="4858" width="24" style="66" customWidth="1"/>
    <col min="4859" max="4862" width="15.85546875" style="66" customWidth="1"/>
    <col min="4863" max="4863" width="1.7109375" style="66" customWidth="1"/>
    <col min="4864" max="4865" width="26" style="66" customWidth="1"/>
    <col min="4866" max="4866" width="1.7109375" style="66" customWidth="1"/>
    <col min="4867" max="4869" width="18.7109375" style="66" customWidth="1"/>
    <col min="4870" max="4870" width="1.7109375" style="66" customWidth="1"/>
    <col min="4871" max="4871" width="25.42578125" style="66" customWidth="1"/>
    <col min="4872" max="4872" width="20.7109375" style="66" customWidth="1"/>
    <col min="4873" max="4873" width="1.7109375" style="66" customWidth="1"/>
    <col min="4874" max="4875" width="25.42578125" style="66" customWidth="1"/>
    <col min="4876" max="4876" width="20.7109375" style="66" customWidth="1"/>
    <col min="4877" max="4877" width="1.7109375" style="66" customWidth="1"/>
    <col min="4878" max="4878" width="41.5703125" style="66" customWidth="1"/>
    <col min="4879" max="4879" width="11.5703125" style="66" customWidth="1"/>
    <col min="4880" max="4880" width="23" style="66" customWidth="1"/>
    <col min="4881" max="4884" width="18.7109375" style="66" customWidth="1"/>
    <col min="4885" max="4885" width="1.7109375" style="66" customWidth="1"/>
    <col min="4886" max="5111" width="9.140625" style="66"/>
    <col min="5112" max="5112" width="40" style="66" customWidth="1"/>
    <col min="5113" max="5113" width="11.5703125" style="66" customWidth="1"/>
    <col min="5114" max="5114" width="24" style="66" customWidth="1"/>
    <col min="5115" max="5118" width="15.85546875" style="66" customWidth="1"/>
    <col min="5119" max="5119" width="1.7109375" style="66" customWidth="1"/>
    <col min="5120" max="5121" width="26" style="66" customWidth="1"/>
    <col min="5122" max="5122" width="1.7109375" style="66" customWidth="1"/>
    <col min="5123" max="5125" width="18.7109375" style="66" customWidth="1"/>
    <col min="5126" max="5126" width="1.7109375" style="66" customWidth="1"/>
    <col min="5127" max="5127" width="25.42578125" style="66" customWidth="1"/>
    <col min="5128" max="5128" width="20.7109375" style="66" customWidth="1"/>
    <col min="5129" max="5129" width="1.7109375" style="66" customWidth="1"/>
    <col min="5130" max="5131" width="25.42578125" style="66" customWidth="1"/>
    <col min="5132" max="5132" width="20.7109375" style="66" customWidth="1"/>
    <col min="5133" max="5133" width="1.7109375" style="66" customWidth="1"/>
    <col min="5134" max="5134" width="41.5703125" style="66" customWidth="1"/>
    <col min="5135" max="5135" width="11.5703125" style="66" customWidth="1"/>
    <col min="5136" max="5136" width="23" style="66" customWidth="1"/>
    <col min="5137" max="5140" width="18.7109375" style="66" customWidth="1"/>
    <col min="5141" max="5141" width="1.7109375" style="66" customWidth="1"/>
    <col min="5142" max="5367" width="9.140625" style="66"/>
    <col min="5368" max="5368" width="40" style="66" customWidth="1"/>
    <col min="5369" max="5369" width="11.5703125" style="66" customWidth="1"/>
    <col min="5370" max="5370" width="24" style="66" customWidth="1"/>
    <col min="5371" max="5374" width="15.85546875" style="66" customWidth="1"/>
    <col min="5375" max="5375" width="1.7109375" style="66" customWidth="1"/>
    <col min="5376" max="5377" width="26" style="66" customWidth="1"/>
    <col min="5378" max="5378" width="1.7109375" style="66" customWidth="1"/>
    <col min="5379" max="5381" width="18.7109375" style="66" customWidth="1"/>
    <col min="5382" max="5382" width="1.7109375" style="66" customWidth="1"/>
    <col min="5383" max="5383" width="25.42578125" style="66" customWidth="1"/>
    <col min="5384" max="5384" width="20.7109375" style="66" customWidth="1"/>
    <col min="5385" max="5385" width="1.7109375" style="66" customWidth="1"/>
    <col min="5386" max="5387" width="25.42578125" style="66" customWidth="1"/>
    <col min="5388" max="5388" width="20.7109375" style="66" customWidth="1"/>
    <col min="5389" max="5389" width="1.7109375" style="66" customWidth="1"/>
    <col min="5390" max="5390" width="41.5703125" style="66" customWidth="1"/>
    <col min="5391" max="5391" width="11.5703125" style="66" customWidth="1"/>
    <col min="5392" max="5392" width="23" style="66" customWidth="1"/>
    <col min="5393" max="5396" width="18.7109375" style="66" customWidth="1"/>
    <col min="5397" max="5397" width="1.7109375" style="66" customWidth="1"/>
    <col min="5398" max="5623" width="9.140625" style="66"/>
    <col min="5624" max="5624" width="40" style="66" customWidth="1"/>
    <col min="5625" max="5625" width="11.5703125" style="66" customWidth="1"/>
    <col min="5626" max="5626" width="24" style="66" customWidth="1"/>
    <col min="5627" max="5630" width="15.85546875" style="66" customWidth="1"/>
    <col min="5631" max="5631" width="1.7109375" style="66" customWidth="1"/>
    <col min="5632" max="5633" width="26" style="66" customWidth="1"/>
    <col min="5634" max="5634" width="1.7109375" style="66" customWidth="1"/>
    <col min="5635" max="5637" width="18.7109375" style="66" customWidth="1"/>
    <col min="5638" max="5638" width="1.7109375" style="66" customWidth="1"/>
    <col min="5639" max="5639" width="25.42578125" style="66" customWidth="1"/>
    <col min="5640" max="5640" width="20.7109375" style="66" customWidth="1"/>
    <col min="5641" max="5641" width="1.7109375" style="66" customWidth="1"/>
    <col min="5642" max="5643" width="25.42578125" style="66" customWidth="1"/>
    <col min="5644" max="5644" width="20.7109375" style="66" customWidth="1"/>
    <col min="5645" max="5645" width="1.7109375" style="66" customWidth="1"/>
    <col min="5646" max="5646" width="41.5703125" style="66" customWidth="1"/>
    <col min="5647" max="5647" width="11.5703125" style="66" customWidth="1"/>
    <col min="5648" max="5648" width="23" style="66" customWidth="1"/>
    <col min="5649" max="5652" width="18.7109375" style="66" customWidth="1"/>
    <col min="5653" max="5653" width="1.7109375" style="66" customWidth="1"/>
    <col min="5654" max="5879" width="9.140625" style="66"/>
    <col min="5880" max="5880" width="40" style="66" customWidth="1"/>
    <col min="5881" max="5881" width="11.5703125" style="66" customWidth="1"/>
    <col min="5882" max="5882" width="24" style="66" customWidth="1"/>
    <col min="5883" max="5886" width="15.85546875" style="66" customWidth="1"/>
    <col min="5887" max="5887" width="1.7109375" style="66" customWidth="1"/>
    <col min="5888" max="5889" width="26" style="66" customWidth="1"/>
    <col min="5890" max="5890" width="1.7109375" style="66" customWidth="1"/>
    <col min="5891" max="5893" width="18.7109375" style="66" customWidth="1"/>
    <col min="5894" max="5894" width="1.7109375" style="66" customWidth="1"/>
    <col min="5895" max="5895" width="25.42578125" style="66" customWidth="1"/>
    <col min="5896" max="5896" width="20.7109375" style="66" customWidth="1"/>
    <col min="5897" max="5897" width="1.7109375" style="66" customWidth="1"/>
    <col min="5898" max="5899" width="25.42578125" style="66" customWidth="1"/>
    <col min="5900" max="5900" width="20.7109375" style="66" customWidth="1"/>
    <col min="5901" max="5901" width="1.7109375" style="66" customWidth="1"/>
    <col min="5902" max="5902" width="41.5703125" style="66" customWidth="1"/>
    <col min="5903" max="5903" width="11.5703125" style="66" customWidth="1"/>
    <col min="5904" max="5904" width="23" style="66" customWidth="1"/>
    <col min="5905" max="5908" width="18.7109375" style="66" customWidth="1"/>
    <col min="5909" max="5909" width="1.7109375" style="66" customWidth="1"/>
    <col min="5910" max="6135" width="9.140625" style="66"/>
    <col min="6136" max="6136" width="40" style="66" customWidth="1"/>
    <col min="6137" max="6137" width="11.5703125" style="66" customWidth="1"/>
    <col min="6138" max="6138" width="24" style="66" customWidth="1"/>
    <col min="6139" max="6142" width="15.85546875" style="66" customWidth="1"/>
    <col min="6143" max="6143" width="1.7109375" style="66" customWidth="1"/>
    <col min="6144" max="6145" width="26" style="66" customWidth="1"/>
    <col min="6146" max="6146" width="1.7109375" style="66" customWidth="1"/>
    <col min="6147" max="6149" width="18.7109375" style="66" customWidth="1"/>
    <col min="6150" max="6150" width="1.7109375" style="66" customWidth="1"/>
    <col min="6151" max="6151" width="25.42578125" style="66" customWidth="1"/>
    <col min="6152" max="6152" width="20.7109375" style="66" customWidth="1"/>
    <col min="6153" max="6153" width="1.7109375" style="66" customWidth="1"/>
    <col min="6154" max="6155" width="25.42578125" style="66" customWidth="1"/>
    <col min="6156" max="6156" width="20.7109375" style="66" customWidth="1"/>
    <col min="6157" max="6157" width="1.7109375" style="66" customWidth="1"/>
    <col min="6158" max="6158" width="41.5703125" style="66" customWidth="1"/>
    <col min="6159" max="6159" width="11.5703125" style="66" customWidth="1"/>
    <col min="6160" max="6160" width="23" style="66" customWidth="1"/>
    <col min="6161" max="6164" width="18.7109375" style="66" customWidth="1"/>
    <col min="6165" max="6165" width="1.7109375" style="66" customWidth="1"/>
    <col min="6166" max="6391" width="9.140625" style="66"/>
    <col min="6392" max="6392" width="40" style="66" customWidth="1"/>
    <col min="6393" max="6393" width="11.5703125" style="66" customWidth="1"/>
    <col min="6394" max="6394" width="24" style="66" customWidth="1"/>
    <col min="6395" max="6398" width="15.85546875" style="66" customWidth="1"/>
    <col min="6399" max="6399" width="1.7109375" style="66" customWidth="1"/>
    <col min="6400" max="6401" width="26" style="66" customWidth="1"/>
    <col min="6402" max="6402" width="1.7109375" style="66" customWidth="1"/>
    <col min="6403" max="6405" width="18.7109375" style="66" customWidth="1"/>
    <col min="6406" max="6406" width="1.7109375" style="66" customWidth="1"/>
    <col min="6407" max="6407" width="25.42578125" style="66" customWidth="1"/>
    <col min="6408" max="6408" width="20.7109375" style="66" customWidth="1"/>
    <col min="6409" max="6409" width="1.7109375" style="66" customWidth="1"/>
    <col min="6410" max="6411" width="25.42578125" style="66" customWidth="1"/>
    <col min="6412" max="6412" width="20.7109375" style="66" customWidth="1"/>
    <col min="6413" max="6413" width="1.7109375" style="66" customWidth="1"/>
    <col min="6414" max="6414" width="41.5703125" style="66" customWidth="1"/>
    <col min="6415" max="6415" width="11.5703125" style="66" customWidth="1"/>
    <col min="6416" max="6416" width="23" style="66" customWidth="1"/>
    <col min="6417" max="6420" width="18.7109375" style="66" customWidth="1"/>
    <col min="6421" max="6421" width="1.7109375" style="66" customWidth="1"/>
    <col min="6422" max="6647" width="9.140625" style="66"/>
    <col min="6648" max="6648" width="40" style="66" customWidth="1"/>
    <col min="6649" max="6649" width="11.5703125" style="66" customWidth="1"/>
    <col min="6650" max="6650" width="24" style="66" customWidth="1"/>
    <col min="6651" max="6654" width="15.85546875" style="66" customWidth="1"/>
    <col min="6655" max="6655" width="1.7109375" style="66" customWidth="1"/>
    <col min="6656" max="6657" width="26" style="66" customWidth="1"/>
    <col min="6658" max="6658" width="1.7109375" style="66" customWidth="1"/>
    <col min="6659" max="6661" width="18.7109375" style="66" customWidth="1"/>
    <col min="6662" max="6662" width="1.7109375" style="66" customWidth="1"/>
    <col min="6663" max="6663" width="25.42578125" style="66" customWidth="1"/>
    <col min="6664" max="6664" width="20.7109375" style="66" customWidth="1"/>
    <col min="6665" max="6665" width="1.7109375" style="66" customWidth="1"/>
    <col min="6666" max="6667" width="25.42578125" style="66" customWidth="1"/>
    <col min="6668" max="6668" width="20.7109375" style="66" customWidth="1"/>
    <col min="6669" max="6669" width="1.7109375" style="66" customWidth="1"/>
    <col min="6670" max="6670" width="41.5703125" style="66" customWidth="1"/>
    <col min="6671" max="6671" width="11.5703125" style="66" customWidth="1"/>
    <col min="6672" max="6672" width="23" style="66" customWidth="1"/>
    <col min="6673" max="6676" width="18.7109375" style="66" customWidth="1"/>
    <col min="6677" max="6677" width="1.7109375" style="66" customWidth="1"/>
    <col min="6678" max="6903" width="9.140625" style="66"/>
    <col min="6904" max="6904" width="40" style="66" customWidth="1"/>
    <col min="6905" max="6905" width="11.5703125" style="66" customWidth="1"/>
    <col min="6906" max="6906" width="24" style="66" customWidth="1"/>
    <col min="6907" max="6910" width="15.85546875" style="66" customWidth="1"/>
    <col min="6911" max="6911" width="1.7109375" style="66" customWidth="1"/>
    <col min="6912" max="6913" width="26" style="66" customWidth="1"/>
    <col min="6914" max="6914" width="1.7109375" style="66" customWidth="1"/>
    <col min="6915" max="6917" width="18.7109375" style="66" customWidth="1"/>
    <col min="6918" max="6918" width="1.7109375" style="66" customWidth="1"/>
    <col min="6919" max="6919" width="25.42578125" style="66" customWidth="1"/>
    <col min="6920" max="6920" width="20.7109375" style="66" customWidth="1"/>
    <col min="6921" max="6921" width="1.7109375" style="66" customWidth="1"/>
    <col min="6922" max="6923" width="25.42578125" style="66" customWidth="1"/>
    <col min="6924" max="6924" width="20.7109375" style="66" customWidth="1"/>
    <col min="6925" max="6925" width="1.7109375" style="66" customWidth="1"/>
    <col min="6926" max="6926" width="41.5703125" style="66" customWidth="1"/>
    <col min="6927" max="6927" width="11.5703125" style="66" customWidth="1"/>
    <col min="6928" max="6928" width="23" style="66" customWidth="1"/>
    <col min="6929" max="6932" width="18.7109375" style="66" customWidth="1"/>
    <col min="6933" max="6933" width="1.7109375" style="66" customWidth="1"/>
    <col min="6934" max="7159" width="9.140625" style="66"/>
    <col min="7160" max="7160" width="40" style="66" customWidth="1"/>
    <col min="7161" max="7161" width="11.5703125" style="66" customWidth="1"/>
    <col min="7162" max="7162" width="24" style="66" customWidth="1"/>
    <col min="7163" max="7166" width="15.85546875" style="66" customWidth="1"/>
    <col min="7167" max="7167" width="1.7109375" style="66" customWidth="1"/>
    <col min="7168" max="7169" width="26" style="66" customWidth="1"/>
    <col min="7170" max="7170" width="1.7109375" style="66" customWidth="1"/>
    <col min="7171" max="7173" width="18.7109375" style="66" customWidth="1"/>
    <col min="7174" max="7174" width="1.7109375" style="66" customWidth="1"/>
    <col min="7175" max="7175" width="25.42578125" style="66" customWidth="1"/>
    <col min="7176" max="7176" width="20.7109375" style="66" customWidth="1"/>
    <col min="7177" max="7177" width="1.7109375" style="66" customWidth="1"/>
    <col min="7178" max="7179" width="25.42578125" style="66" customWidth="1"/>
    <col min="7180" max="7180" width="20.7109375" style="66" customWidth="1"/>
    <col min="7181" max="7181" width="1.7109375" style="66" customWidth="1"/>
    <col min="7182" max="7182" width="41.5703125" style="66" customWidth="1"/>
    <col min="7183" max="7183" width="11.5703125" style="66" customWidth="1"/>
    <col min="7184" max="7184" width="23" style="66" customWidth="1"/>
    <col min="7185" max="7188" width="18.7109375" style="66" customWidth="1"/>
    <col min="7189" max="7189" width="1.7109375" style="66" customWidth="1"/>
    <col min="7190" max="7415" width="9.140625" style="66"/>
    <col min="7416" max="7416" width="40" style="66" customWidth="1"/>
    <col min="7417" max="7417" width="11.5703125" style="66" customWidth="1"/>
    <col min="7418" max="7418" width="24" style="66" customWidth="1"/>
    <col min="7419" max="7422" width="15.85546875" style="66" customWidth="1"/>
    <col min="7423" max="7423" width="1.7109375" style="66" customWidth="1"/>
    <col min="7424" max="7425" width="26" style="66" customWidth="1"/>
    <col min="7426" max="7426" width="1.7109375" style="66" customWidth="1"/>
    <col min="7427" max="7429" width="18.7109375" style="66" customWidth="1"/>
    <col min="7430" max="7430" width="1.7109375" style="66" customWidth="1"/>
    <col min="7431" max="7431" width="25.42578125" style="66" customWidth="1"/>
    <col min="7432" max="7432" width="20.7109375" style="66" customWidth="1"/>
    <col min="7433" max="7433" width="1.7109375" style="66" customWidth="1"/>
    <col min="7434" max="7435" width="25.42578125" style="66" customWidth="1"/>
    <col min="7436" max="7436" width="20.7109375" style="66" customWidth="1"/>
    <col min="7437" max="7437" width="1.7109375" style="66" customWidth="1"/>
    <col min="7438" max="7438" width="41.5703125" style="66" customWidth="1"/>
    <col min="7439" max="7439" width="11.5703125" style="66" customWidth="1"/>
    <col min="7440" max="7440" width="23" style="66" customWidth="1"/>
    <col min="7441" max="7444" width="18.7109375" style="66" customWidth="1"/>
    <col min="7445" max="7445" width="1.7109375" style="66" customWidth="1"/>
    <col min="7446" max="7671" width="9.140625" style="66"/>
    <col min="7672" max="7672" width="40" style="66" customWidth="1"/>
    <col min="7673" max="7673" width="11.5703125" style="66" customWidth="1"/>
    <col min="7674" max="7674" width="24" style="66" customWidth="1"/>
    <col min="7675" max="7678" width="15.85546875" style="66" customWidth="1"/>
    <col min="7679" max="7679" width="1.7109375" style="66" customWidth="1"/>
    <col min="7680" max="7681" width="26" style="66" customWidth="1"/>
    <col min="7682" max="7682" width="1.7109375" style="66" customWidth="1"/>
    <col min="7683" max="7685" width="18.7109375" style="66" customWidth="1"/>
    <col min="7686" max="7686" width="1.7109375" style="66" customWidth="1"/>
    <col min="7687" max="7687" width="25.42578125" style="66" customWidth="1"/>
    <col min="7688" max="7688" width="20.7109375" style="66" customWidth="1"/>
    <col min="7689" max="7689" width="1.7109375" style="66" customWidth="1"/>
    <col min="7690" max="7691" width="25.42578125" style="66" customWidth="1"/>
    <col min="7692" max="7692" width="20.7109375" style="66" customWidth="1"/>
    <col min="7693" max="7693" width="1.7109375" style="66" customWidth="1"/>
    <col min="7694" max="7694" width="41.5703125" style="66" customWidth="1"/>
    <col min="7695" max="7695" width="11.5703125" style="66" customWidth="1"/>
    <col min="7696" max="7696" width="23" style="66" customWidth="1"/>
    <col min="7697" max="7700" width="18.7109375" style="66" customWidth="1"/>
    <col min="7701" max="7701" width="1.7109375" style="66" customWidth="1"/>
    <col min="7702" max="7927" width="9.140625" style="66"/>
    <col min="7928" max="7928" width="40" style="66" customWidth="1"/>
    <col min="7929" max="7929" width="11.5703125" style="66" customWidth="1"/>
    <col min="7930" max="7930" width="24" style="66" customWidth="1"/>
    <col min="7931" max="7934" width="15.85546875" style="66" customWidth="1"/>
    <col min="7935" max="7935" width="1.7109375" style="66" customWidth="1"/>
    <col min="7936" max="7937" width="26" style="66" customWidth="1"/>
    <col min="7938" max="7938" width="1.7109375" style="66" customWidth="1"/>
    <col min="7939" max="7941" width="18.7109375" style="66" customWidth="1"/>
    <col min="7942" max="7942" width="1.7109375" style="66" customWidth="1"/>
    <col min="7943" max="7943" width="25.42578125" style="66" customWidth="1"/>
    <col min="7944" max="7944" width="20.7109375" style="66" customWidth="1"/>
    <col min="7945" max="7945" width="1.7109375" style="66" customWidth="1"/>
    <col min="7946" max="7947" width="25.42578125" style="66" customWidth="1"/>
    <col min="7948" max="7948" width="20.7109375" style="66" customWidth="1"/>
    <col min="7949" max="7949" width="1.7109375" style="66" customWidth="1"/>
    <col min="7950" max="7950" width="41.5703125" style="66" customWidth="1"/>
    <col min="7951" max="7951" width="11.5703125" style="66" customWidth="1"/>
    <col min="7952" max="7952" width="23" style="66" customWidth="1"/>
    <col min="7953" max="7956" width="18.7109375" style="66" customWidth="1"/>
    <col min="7957" max="7957" width="1.7109375" style="66" customWidth="1"/>
    <col min="7958" max="8183" width="9.140625" style="66"/>
    <col min="8184" max="8184" width="40" style="66" customWidth="1"/>
    <col min="8185" max="8185" width="11.5703125" style="66" customWidth="1"/>
    <col min="8186" max="8186" width="24" style="66" customWidth="1"/>
    <col min="8187" max="8190" width="15.85546875" style="66" customWidth="1"/>
    <col min="8191" max="8191" width="1.7109375" style="66" customWidth="1"/>
    <col min="8192" max="8193" width="26" style="66" customWidth="1"/>
    <col min="8194" max="8194" width="1.7109375" style="66" customWidth="1"/>
    <col min="8195" max="8197" width="18.7109375" style="66" customWidth="1"/>
    <col min="8198" max="8198" width="1.7109375" style="66" customWidth="1"/>
    <col min="8199" max="8199" width="25.42578125" style="66" customWidth="1"/>
    <col min="8200" max="8200" width="20.7109375" style="66" customWidth="1"/>
    <col min="8201" max="8201" width="1.7109375" style="66" customWidth="1"/>
    <col min="8202" max="8203" width="25.42578125" style="66" customWidth="1"/>
    <col min="8204" max="8204" width="20.7109375" style="66" customWidth="1"/>
    <col min="8205" max="8205" width="1.7109375" style="66" customWidth="1"/>
    <col min="8206" max="8206" width="41.5703125" style="66" customWidth="1"/>
    <col min="8207" max="8207" width="11.5703125" style="66" customWidth="1"/>
    <col min="8208" max="8208" width="23" style="66" customWidth="1"/>
    <col min="8209" max="8212" width="18.7109375" style="66" customWidth="1"/>
    <col min="8213" max="8213" width="1.7109375" style="66" customWidth="1"/>
    <col min="8214" max="8439" width="9.140625" style="66"/>
    <col min="8440" max="8440" width="40" style="66" customWidth="1"/>
    <col min="8441" max="8441" width="11.5703125" style="66" customWidth="1"/>
    <col min="8442" max="8442" width="24" style="66" customWidth="1"/>
    <col min="8443" max="8446" width="15.85546875" style="66" customWidth="1"/>
    <col min="8447" max="8447" width="1.7109375" style="66" customWidth="1"/>
    <col min="8448" max="8449" width="26" style="66" customWidth="1"/>
    <col min="8450" max="8450" width="1.7109375" style="66" customWidth="1"/>
    <col min="8451" max="8453" width="18.7109375" style="66" customWidth="1"/>
    <col min="8454" max="8454" width="1.7109375" style="66" customWidth="1"/>
    <col min="8455" max="8455" width="25.42578125" style="66" customWidth="1"/>
    <col min="8456" max="8456" width="20.7109375" style="66" customWidth="1"/>
    <col min="8457" max="8457" width="1.7109375" style="66" customWidth="1"/>
    <col min="8458" max="8459" width="25.42578125" style="66" customWidth="1"/>
    <col min="8460" max="8460" width="20.7109375" style="66" customWidth="1"/>
    <col min="8461" max="8461" width="1.7109375" style="66" customWidth="1"/>
    <col min="8462" max="8462" width="41.5703125" style="66" customWidth="1"/>
    <col min="8463" max="8463" width="11.5703125" style="66" customWidth="1"/>
    <col min="8464" max="8464" width="23" style="66" customWidth="1"/>
    <col min="8465" max="8468" width="18.7109375" style="66" customWidth="1"/>
    <col min="8469" max="8469" width="1.7109375" style="66" customWidth="1"/>
    <col min="8470" max="8695" width="9.140625" style="66"/>
    <col min="8696" max="8696" width="40" style="66" customWidth="1"/>
    <col min="8697" max="8697" width="11.5703125" style="66" customWidth="1"/>
    <col min="8698" max="8698" width="24" style="66" customWidth="1"/>
    <col min="8699" max="8702" width="15.85546875" style="66" customWidth="1"/>
    <col min="8703" max="8703" width="1.7109375" style="66" customWidth="1"/>
    <col min="8704" max="8705" width="26" style="66" customWidth="1"/>
    <col min="8706" max="8706" width="1.7109375" style="66" customWidth="1"/>
    <col min="8707" max="8709" width="18.7109375" style="66" customWidth="1"/>
    <col min="8710" max="8710" width="1.7109375" style="66" customWidth="1"/>
    <col min="8711" max="8711" width="25.42578125" style="66" customWidth="1"/>
    <col min="8712" max="8712" width="20.7109375" style="66" customWidth="1"/>
    <col min="8713" max="8713" width="1.7109375" style="66" customWidth="1"/>
    <col min="8714" max="8715" width="25.42578125" style="66" customWidth="1"/>
    <col min="8716" max="8716" width="20.7109375" style="66" customWidth="1"/>
    <col min="8717" max="8717" width="1.7109375" style="66" customWidth="1"/>
    <col min="8718" max="8718" width="41.5703125" style="66" customWidth="1"/>
    <col min="8719" max="8719" width="11.5703125" style="66" customWidth="1"/>
    <col min="8720" max="8720" width="23" style="66" customWidth="1"/>
    <col min="8721" max="8724" width="18.7109375" style="66" customWidth="1"/>
    <col min="8725" max="8725" width="1.7109375" style="66" customWidth="1"/>
    <col min="8726" max="8951" width="9.140625" style="66"/>
    <col min="8952" max="8952" width="40" style="66" customWidth="1"/>
    <col min="8953" max="8953" width="11.5703125" style="66" customWidth="1"/>
    <col min="8954" max="8954" width="24" style="66" customWidth="1"/>
    <col min="8955" max="8958" width="15.85546875" style="66" customWidth="1"/>
    <col min="8959" max="8959" width="1.7109375" style="66" customWidth="1"/>
    <col min="8960" max="8961" width="26" style="66" customWidth="1"/>
    <col min="8962" max="8962" width="1.7109375" style="66" customWidth="1"/>
    <col min="8963" max="8965" width="18.7109375" style="66" customWidth="1"/>
    <col min="8966" max="8966" width="1.7109375" style="66" customWidth="1"/>
    <col min="8967" max="8967" width="25.42578125" style="66" customWidth="1"/>
    <col min="8968" max="8968" width="20.7109375" style="66" customWidth="1"/>
    <col min="8969" max="8969" width="1.7109375" style="66" customWidth="1"/>
    <col min="8970" max="8971" width="25.42578125" style="66" customWidth="1"/>
    <col min="8972" max="8972" width="20.7109375" style="66" customWidth="1"/>
    <col min="8973" max="8973" width="1.7109375" style="66" customWidth="1"/>
    <col min="8974" max="8974" width="41.5703125" style="66" customWidth="1"/>
    <col min="8975" max="8975" width="11.5703125" style="66" customWidth="1"/>
    <col min="8976" max="8976" width="23" style="66" customWidth="1"/>
    <col min="8977" max="8980" width="18.7109375" style="66" customWidth="1"/>
    <col min="8981" max="8981" width="1.7109375" style="66" customWidth="1"/>
    <col min="8982" max="9207" width="9.140625" style="66"/>
    <col min="9208" max="9208" width="40" style="66" customWidth="1"/>
    <col min="9209" max="9209" width="11.5703125" style="66" customWidth="1"/>
    <col min="9210" max="9210" width="24" style="66" customWidth="1"/>
    <col min="9211" max="9214" width="15.85546875" style="66" customWidth="1"/>
    <col min="9215" max="9215" width="1.7109375" style="66" customWidth="1"/>
    <col min="9216" max="9217" width="26" style="66" customWidth="1"/>
    <col min="9218" max="9218" width="1.7109375" style="66" customWidth="1"/>
    <col min="9219" max="9221" width="18.7109375" style="66" customWidth="1"/>
    <col min="9222" max="9222" width="1.7109375" style="66" customWidth="1"/>
    <col min="9223" max="9223" width="25.42578125" style="66" customWidth="1"/>
    <col min="9224" max="9224" width="20.7109375" style="66" customWidth="1"/>
    <col min="9225" max="9225" width="1.7109375" style="66" customWidth="1"/>
    <col min="9226" max="9227" width="25.42578125" style="66" customWidth="1"/>
    <col min="9228" max="9228" width="20.7109375" style="66" customWidth="1"/>
    <col min="9229" max="9229" width="1.7109375" style="66" customWidth="1"/>
    <col min="9230" max="9230" width="41.5703125" style="66" customWidth="1"/>
    <col min="9231" max="9231" width="11.5703125" style="66" customWidth="1"/>
    <col min="9232" max="9232" width="23" style="66" customWidth="1"/>
    <col min="9233" max="9236" width="18.7109375" style="66" customWidth="1"/>
    <col min="9237" max="9237" width="1.7109375" style="66" customWidth="1"/>
    <col min="9238" max="9463" width="9.140625" style="66"/>
    <col min="9464" max="9464" width="40" style="66" customWidth="1"/>
    <col min="9465" max="9465" width="11.5703125" style="66" customWidth="1"/>
    <col min="9466" max="9466" width="24" style="66" customWidth="1"/>
    <col min="9467" max="9470" width="15.85546875" style="66" customWidth="1"/>
    <col min="9471" max="9471" width="1.7109375" style="66" customWidth="1"/>
    <col min="9472" max="9473" width="26" style="66" customWidth="1"/>
    <col min="9474" max="9474" width="1.7109375" style="66" customWidth="1"/>
    <col min="9475" max="9477" width="18.7109375" style="66" customWidth="1"/>
    <col min="9478" max="9478" width="1.7109375" style="66" customWidth="1"/>
    <col min="9479" max="9479" width="25.42578125" style="66" customWidth="1"/>
    <col min="9480" max="9480" width="20.7109375" style="66" customWidth="1"/>
    <col min="9481" max="9481" width="1.7109375" style="66" customWidth="1"/>
    <col min="9482" max="9483" width="25.42578125" style="66" customWidth="1"/>
    <col min="9484" max="9484" width="20.7109375" style="66" customWidth="1"/>
    <col min="9485" max="9485" width="1.7109375" style="66" customWidth="1"/>
    <col min="9486" max="9486" width="41.5703125" style="66" customWidth="1"/>
    <col min="9487" max="9487" width="11.5703125" style="66" customWidth="1"/>
    <col min="9488" max="9488" width="23" style="66" customWidth="1"/>
    <col min="9489" max="9492" width="18.7109375" style="66" customWidth="1"/>
    <col min="9493" max="9493" width="1.7109375" style="66" customWidth="1"/>
    <col min="9494" max="9719" width="9.140625" style="66"/>
    <col min="9720" max="9720" width="40" style="66" customWidth="1"/>
    <col min="9721" max="9721" width="11.5703125" style="66" customWidth="1"/>
    <col min="9722" max="9722" width="24" style="66" customWidth="1"/>
    <col min="9723" max="9726" width="15.85546875" style="66" customWidth="1"/>
    <col min="9727" max="9727" width="1.7109375" style="66" customWidth="1"/>
    <col min="9728" max="9729" width="26" style="66" customWidth="1"/>
    <col min="9730" max="9730" width="1.7109375" style="66" customWidth="1"/>
    <col min="9731" max="9733" width="18.7109375" style="66" customWidth="1"/>
    <col min="9734" max="9734" width="1.7109375" style="66" customWidth="1"/>
    <col min="9735" max="9735" width="25.42578125" style="66" customWidth="1"/>
    <col min="9736" max="9736" width="20.7109375" style="66" customWidth="1"/>
    <col min="9737" max="9737" width="1.7109375" style="66" customWidth="1"/>
    <col min="9738" max="9739" width="25.42578125" style="66" customWidth="1"/>
    <col min="9740" max="9740" width="20.7109375" style="66" customWidth="1"/>
    <col min="9741" max="9741" width="1.7109375" style="66" customWidth="1"/>
    <col min="9742" max="9742" width="41.5703125" style="66" customWidth="1"/>
    <col min="9743" max="9743" width="11.5703125" style="66" customWidth="1"/>
    <col min="9744" max="9744" width="23" style="66" customWidth="1"/>
    <col min="9745" max="9748" width="18.7109375" style="66" customWidth="1"/>
    <col min="9749" max="9749" width="1.7109375" style="66" customWidth="1"/>
    <col min="9750" max="9975" width="9.140625" style="66"/>
    <col min="9976" max="9976" width="40" style="66" customWidth="1"/>
    <col min="9977" max="9977" width="11.5703125" style="66" customWidth="1"/>
    <col min="9978" max="9978" width="24" style="66" customWidth="1"/>
    <col min="9979" max="9982" width="15.85546875" style="66" customWidth="1"/>
    <col min="9983" max="9983" width="1.7109375" style="66" customWidth="1"/>
    <col min="9984" max="9985" width="26" style="66" customWidth="1"/>
    <col min="9986" max="9986" width="1.7109375" style="66" customWidth="1"/>
    <col min="9987" max="9989" width="18.7109375" style="66" customWidth="1"/>
    <col min="9990" max="9990" width="1.7109375" style="66" customWidth="1"/>
    <col min="9991" max="9991" width="25.42578125" style="66" customWidth="1"/>
    <col min="9992" max="9992" width="20.7109375" style="66" customWidth="1"/>
    <col min="9993" max="9993" width="1.7109375" style="66" customWidth="1"/>
    <col min="9994" max="9995" width="25.42578125" style="66" customWidth="1"/>
    <col min="9996" max="9996" width="20.7109375" style="66" customWidth="1"/>
    <col min="9997" max="9997" width="1.7109375" style="66" customWidth="1"/>
    <col min="9998" max="9998" width="41.5703125" style="66" customWidth="1"/>
    <col min="9999" max="9999" width="11.5703125" style="66" customWidth="1"/>
    <col min="10000" max="10000" width="23" style="66" customWidth="1"/>
    <col min="10001" max="10004" width="18.7109375" style="66" customWidth="1"/>
    <col min="10005" max="10005" width="1.7109375" style="66" customWidth="1"/>
    <col min="10006" max="10231" width="9.140625" style="66"/>
    <col min="10232" max="10232" width="40" style="66" customWidth="1"/>
    <col min="10233" max="10233" width="11.5703125" style="66" customWidth="1"/>
    <col min="10234" max="10234" width="24" style="66" customWidth="1"/>
    <col min="10235" max="10238" width="15.85546875" style="66" customWidth="1"/>
    <col min="10239" max="10239" width="1.7109375" style="66" customWidth="1"/>
    <col min="10240" max="10241" width="26" style="66" customWidth="1"/>
    <col min="10242" max="10242" width="1.7109375" style="66" customWidth="1"/>
    <col min="10243" max="10245" width="18.7109375" style="66" customWidth="1"/>
    <col min="10246" max="10246" width="1.7109375" style="66" customWidth="1"/>
    <col min="10247" max="10247" width="25.42578125" style="66" customWidth="1"/>
    <col min="10248" max="10248" width="20.7109375" style="66" customWidth="1"/>
    <col min="10249" max="10249" width="1.7109375" style="66" customWidth="1"/>
    <col min="10250" max="10251" width="25.42578125" style="66" customWidth="1"/>
    <col min="10252" max="10252" width="20.7109375" style="66" customWidth="1"/>
    <col min="10253" max="10253" width="1.7109375" style="66" customWidth="1"/>
    <col min="10254" max="10254" width="41.5703125" style="66" customWidth="1"/>
    <col min="10255" max="10255" width="11.5703125" style="66" customWidth="1"/>
    <col min="10256" max="10256" width="23" style="66" customWidth="1"/>
    <col min="10257" max="10260" width="18.7109375" style="66" customWidth="1"/>
    <col min="10261" max="10261" width="1.7109375" style="66" customWidth="1"/>
    <col min="10262" max="10487" width="9.140625" style="66"/>
    <col min="10488" max="10488" width="40" style="66" customWidth="1"/>
    <col min="10489" max="10489" width="11.5703125" style="66" customWidth="1"/>
    <col min="10490" max="10490" width="24" style="66" customWidth="1"/>
    <col min="10491" max="10494" width="15.85546875" style="66" customWidth="1"/>
    <col min="10495" max="10495" width="1.7109375" style="66" customWidth="1"/>
    <col min="10496" max="10497" width="26" style="66" customWidth="1"/>
    <col min="10498" max="10498" width="1.7109375" style="66" customWidth="1"/>
    <col min="10499" max="10501" width="18.7109375" style="66" customWidth="1"/>
    <col min="10502" max="10502" width="1.7109375" style="66" customWidth="1"/>
    <col min="10503" max="10503" width="25.42578125" style="66" customWidth="1"/>
    <col min="10504" max="10504" width="20.7109375" style="66" customWidth="1"/>
    <col min="10505" max="10505" width="1.7109375" style="66" customWidth="1"/>
    <col min="10506" max="10507" width="25.42578125" style="66" customWidth="1"/>
    <col min="10508" max="10508" width="20.7109375" style="66" customWidth="1"/>
    <col min="10509" max="10509" width="1.7109375" style="66" customWidth="1"/>
    <col min="10510" max="10510" width="41.5703125" style="66" customWidth="1"/>
    <col min="10511" max="10511" width="11.5703125" style="66" customWidth="1"/>
    <col min="10512" max="10512" width="23" style="66" customWidth="1"/>
    <col min="10513" max="10516" width="18.7109375" style="66" customWidth="1"/>
    <col min="10517" max="10517" width="1.7109375" style="66" customWidth="1"/>
    <col min="10518" max="10743" width="9.140625" style="66"/>
    <col min="10744" max="10744" width="40" style="66" customWidth="1"/>
    <col min="10745" max="10745" width="11.5703125" style="66" customWidth="1"/>
    <col min="10746" max="10746" width="24" style="66" customWidth="1"/>
    <col min="10747" max="10750" width="15.85546875" style="66" customWidth="1"/>
    <col min="10751" max="10751" width="1.7109375" style="66" customWidth="1"/>
    <col min="10752" max="10753" width="26" style="66" customWidth="1"/>
    <col min="10754" max="10754" width="1.7109375" style="66" customWidth="1"/>
    <col min="10755" max="10757" width="18.7109375" style="66" customWidth="1"/>
    <col min="10758" max="10758" width="1.7109375" style="66" customWidth="1"/>
    <col min="10759" max="10759" width="25.42578125" style="66" customWidth="1"/>
    <col min="10760" max="10760" width="20.7109375" style="66" customWidth="1"/>
    <col min="10761" max="10761" width="1.7109375" style="66" customWidth="1"/>
    <col min="10762" max="10763" width="25.42578125" style="66" customWidth="1"/>
    <col min="10764" max="10764" width="20.7109375" style="66" customWidth="1"/>
    <col min="10765" max="10765" width="1.7109375" style="66" customWidth="1"/>
    <col min="10766" max="10766" width="41.5703125" style="66" customWidth="1"/>
    <col min="10767" max="10767" width="11.5703125" style="66" customWidth="1"/>
    <col min="10768" max="10768" width="23" style="66" customWidth="1"/>
    <col min="10769" max="10772" width="18.7109375" style="66" customWidth="1"/>
    <col min="10773" max="10773" width="1.7109375" style="66" customWidth="1"/>
    <col min="10774" max="10999" width="9.140625" style="66"/>
    <col min="11000" max="11000" width="40" style="66" customWidth="1"/>
    <col min="11001" max="11001" width="11.5703125" style="66" customWidth="1"/>
    <col min="11002" max="11002" width="24" style="66" customWidth="1"/>
    <col min="11003" max="11006" width="15.85546875" style="66" customWidth="1"/>
    <col min="11007" max="11007" width="1.7109375" style="66" customWidth="1"/>
    <col min="11008" max="11009" width="26" style="66" customWidth="1"/>
    <col min="11010" max="11010" width="1.7109375" style="66" customWidth="1"/>
    <col min="11011" max="11013" width="18.7109375" style="66" customWidth="1"/>
    <col min="11014" max="11014" width="1.7109375" style="66" customWidth="1"/>
    <col min="11015" max="11015" width="25.42578125" style="66" customWidth="1"/>
    <col min="11016" max="11016" width="20.7109375" style="66" customWidth="1"/>
    <col min="11017" max="11017" width="1.7109375" style="66" customWidth="1"/>
    <col min="11018" max="11019" width="25.42578125" style="66" customWidth="1"/>
    <col min="11020" max="11020" width="20.7109375" style="66" customWidth="1"/>
    <col min="11021" max="11021" width="1.7109375" style="66" customWidth="1"/>
    <col min="11022" max="11022" width="41.5703125" style="66" customWidth="1"/>
    <col min="11023" max="11023" width="11.5703125" style="66" customWidth="1"/>
    <col min="11024" max="11024" width="23" style="66" customWidth="1"/>
    <col min="11025" max="11028" width="18.7109375" style="66" customWidth="1"/>
    <col min="11029" max="11029" width="1.7109375" style="66" customWidth="1"/>
    <col min="11030" max="11255" width="9.140625" style="66"/>
    <col min="11256" max="11256" width="40" style="66" customWidth="1"/>
    <col min="11257" max="11257" width="11.5703125" style="66" customWidth="1"/>
    <col min="11258" max="11258" width="24" style="66" customWidth="1"/>
    <col min="11259" max="11262" width="15.85546875" style="66" customWidth="1"/>
    <col min="11263" max="11263" width="1.7109375" style="66" customWidth="1"/>
    <col min="11264" max="11265" width="26" style="66" customWidth="1"/>
    <col min="11266" max="11266" width="1.7109375" style="66" customWidth="1"/>
    <col min="11267" max="11269" width="18.7109375" style="66" customWidth="1"/>
    <col min="11270" max="11270" width="1.7109375" style="66" customWidth="1"/>
    <col min="11271" max="11271" width="25.42578125" style="66" customWidth="1"/>
    <col min="11272" max="11272" width="20.7109375" style="66" customWidth="1"/>
    <col min="11273" max="11273" width="1.7109375" style="66" customWidth="1"/>
    <col min="11274" max="11275" width="25.42578125" style="66" customWidth="1"/>
    <col min="11276" max="11276" width="20.7109375" style="66" customWidth="1"/>
    <col min="11277" max="11277" width="1.7109375" style="66" customWidth="1"/>
    <col min="11278" max="11278" width="41.5703125" style="66" customWidth="1"/>
    <col min="11279" max="11279" width="11.5703125" style="66" customWidth="1"/>
    <col min="11280" max="11280" width="23" style="66" customWidth="1"/>
    <col min="11281" max="11284" width="18.7109375" style="66" customWidth="1"/>
    <col min="11285" max="11285" width="1.7109375" style="66" customWidth="1"/>
    <col min="11286" max="11511" width="9.140625" style="66"/>
    <col min="11512" max="11512" width="40" style="66" customWidth="1"/>
    <col min="11513" max="11513" width="11.5703125" style="66" customWidth="1"/>
    <col min="11514" max="11514" width="24" style="66" customWidth="1"/>
    <col min="11515" max="11518" width="15.85546875" style="66" customWidth="1"/>
    <col min="11519" max="11519" width="1.7109375" style="66" customWidth="1"/>
    <col min="11520" max="11521" width="26" style="66" customWidth="1"/>
    <col min="11522" max="11522" width="1.7109375" style="66" customWidth="1"/>
    <col min="11523" max="11525" width="18.7109375" style="66" customWidth="1"/>
    <col min="11526" max="11526" width="1.7109375" style="66" customWidth="1"/>
    <col min="11527" max="11527" width="25.42578125" style="66" customWidth="1"/>
    <col min="11528" max="11528" width="20.7109375" style="66" customWidth="1"/>
    <col min="11529" max="11529" width="1.7109375" style="66" customWidth="1"/>
    <col min="11530" max="11531" width="25.42578125" style="66" customWidth="1"/>
    <col min="11532" max="11532" width="20.7109375" style="66" customWidth="1"/>
    <col min="11533" max="11533" width="1.7109375" style="66" customWidth="1"/>
    <col min="11534" max="11534" width="41.5703125" style="66" customWidth="1"/>
    <col min="11535" max="11535" width="11.5703125" style="66" customWidth="1"/>
    <col min="11536" max="11536" width="23" style="66" customWidth="1"/>
    <col min="11537" max="11540" width="18.7109375" style="66" customWidth="1"/>
    <col min="11541" max="11541" width="1.7109375" style="66" customWidth="1"/>
    <col min="11542" max="11767" width="9.140625" style="66"/>
    <col min="11768" max="11768" width="40" style="66" customWidth="1"/>
    <col min="11769" max="11769" width="11.5703125" style="66" customWidth="1"/>
    <col min="11770" max="11770" width="24" style="66" customWidth="1"/>
    <col min="11771" max="11774" width="15.85546875" style="66" customWidth="1"/>
    <col min="11775" max="11775" width="1.7109375" style="66" customWidth="1"/>
    <col min="11776" max="11777" width="26" style="66" customWidth="1"/>
    <col min="11778" max="11778" width="1.7109375" style="66" customWidth="1"/>
    <col min="11779" max="11781" width="18.7109375" style="66" customWidth="1"/>
    <col min="11782" max="11782" width="1.7109375" style="66" customWidth="1"/>
    <col min="11783" max="11783" width="25.42578125" style="66" customWidth="1"/>
    <col min="11784" max="11784" width="20.7109375" style="66" customWidth="1"/>
    <col min="11785" max="11785" width="1.7109375" style="66" customWidth="1"/>
    <col min="11786" max="11787" width="25.42578125" style="66" customWidth="1"/>
    <col min="11788" max="11788" width="20.7109375" style="66" customWidth="1"/>
    <col min="11789" max="11789" width="1.7109375" style="66" customWidth="1"/>
    <col min="11790" max="11790" width="41.5703125" style="66" customWidth="1"/>
    <col min="11791" max="11791" width="11.5703125" style="66" customWidth="1"/>
    <col min="11792" max="11792" width="23" style="66" customWidth="1"/>
    <col min="11793" max="11796" width="18.7109375" style="66" customWidth="1"/>
    <col min="11797" max="11797" width="1.7109375" style="66" customWidth="1"/>
    <col min="11798" max="12023" width="9.140625" style="66"/>
    <col min="12024" max="12024" width="40" style="66" customWidth="1"/>
    <col min="12025" max="12025" width="11.5703125" style="66" customWidth="1"/>
    <col min="12026" max="12026" width="24" style="66" customWidth="1"/>
    <col min="12027" max="12030" width="15.85546875" style="66" customWidth="1"/>
    <col min="12031" max="12031" width="1.7109375" style="66" customWidth="1"/>
    <col min="12032" max="12033" width="26" style="66" customWidth="1"/>
    <col min="12034" max="12034" width="1.7109375" style="66" customWidth="1"/>
    <col min="12035" max="12037" width="18.7109375" style="66" customWidth="1"/>
    <col min="12038" max="12038" width="1.7109375" style="66" customWidth="1"/>
    <col min="12039" max="12039" width="25.42578125" style="66" customWidth="1"/>
    <col min="12040" max="12040" width="20.7109375" style="66" customWidth="1"/>
    <col min="12041" max="12041" width="1.7109375" style="66" customWidth="1"/>
    <col min="12042" max="12043" width="25.42578125" style="66" customWidth="1"/>
    <col min="12044" max="12044" width="20.7109375" style="66" customWidth="1"/>
    <col min="12045" max="12045" width="1.7109375" style="66" customWidth="1"/>
    <col min="12046" max="12046" width="41.5703125" style="66" customWidth="1"/>
    <col min="12047" max="12047" width="11.5703125" style="66" customWidth="1"/>
    <col min="12048" max="12048" width="23" style="66" customWidth="1"/>
    <col min="12049" max="12052" width="18.7109375" style="66" customWidth="1"/>
    <col min="12053" max="12053" width="1.7109375" style="66" customWidth="1"/>
    <col min="12054" max="12279" width="9.140625" style="66"/>
    <col min="12280" max="12280" width="40" style="66" customWidth="1"/>
    <col min="12281" max="12281" width="11.5703125" style="66" customWidth="1"/>
    <col min="12282" max="12282" width="24" style="66" customWidth="1"/>
    <col min="12283" max="12286" width="15.85546875" style="66" customWidth="1"/>
    <col min="12287" max="12287" width="1.7109375" style="66" customWidth="1"/>
    <col min="12288" max="12289" width="26" style="66" customWidth="1"/>
    <col min="12290" max="12290" width="1.7109375" style="66" customWidth="1"/>
    <col min="12291" max="12293" width="18.7109375" style="66" customWidth="1"/>
    <col min="12294" max="12294" width="1.7109375" style="66" customWidth="1"/>
    <col min="12295" max="12295" width="25.42578125" style="66" customWidth="1"/>
    <col min="12296" max="12296" width="20.7109375" style="66" customWidth="1"/>
    <col min="12297" max="12297" width="1.7109375" style="66" customWidth="1"/>
    <col min="12298" max="12299" width="25.42578125" style="66" customWidth="1"/>
    <col min="12300" max="12300" width="20.7109375" style="66" customWidth="1"/>
    <col min="12301" max="12301" width="1.7109375" style="66" customWidth="1"/>
    <col min="12302" max="12302" width="41.5703125" style="66" customWidth="1"/>
    <col min="12303" max="12303" width="11.5703125" style="66" customWidth="1"/>
    <col min="12304" max="12304" width="23" style="66" customWidth="1"/>
    <col min="12305" max="12308" width="18.7109375" style="66" customWidth="1"/>
    <col min="12309" max="12309" width="1.7109375" style="66" customWidth="1"/>
    <col min="12310" max="12535" width="9.140625" style="66"/>
    <col min="12536" max="12536" width="40" style="66" customWidth="1"/>
    <col min="12537" max="12537" width="11.5703125" style="66" customWidth="1"/>
    <col min="12538" max="12538" width="24" style="66" customWidth="1"/>
    <col min="12539" max="12542" width="15.85546875" style="66" customWidth="1"/>
    <col min="12543" max="12543" width="1.7109375" style="66" customWidth="1"/>
    <col min="12544" max="12545" width="26" style="66" customWidth="1"/>
    <col min="12546" max="12546" width="1.7109375" style="66" customWidth="1"/>
    <col min="12547" max="12549" width="18.7109375" style="66" customWidth="1"/>
    <col min="12550" max="12550" width="1.7109375" style="66" customWidth="1"/>
    <col min="12551" max="12551" width="25.42578125" style="66" customWidth="1"/>
    <col min="12552" max="12552" width="20.7109375" style="66" customWidth="1"/>
    <col min="12553" max="12553" width="1.7109375" style="66" customWidth="1"/>
    <col min="12554" max="12555" width="25.42578125" style="66" customWidth="1"/>
    <col min="12556" max="12556" width="20.7109375" style="66" customWidth="1"/>
    <col min="12557" max="12557" width="1.7109375" style="66" customWidth="1"/>
    <col min="12558" max="12558" width="41.5703125" style="66" customWidth="1"/>
    <col min="12559" max="12559" width="11.5703125" style="66" customWidth="1"/>
    <col min="12560" max="12560" width="23" style="66" customWidth="1"/>
    <col min="12561" max="12564" width="18.7109375" style="66" customWidth="1"/>
    <col min="12565" max="12565" width="1.7109375" style="66" customWidth="1"/>
    <col min="12566" max="12791" width="9.140625" style="66"/>
    <col min="12792" max="12792" width="40" style="66" customWidth="1"/>
    <col min="12793" max="12793" width="11.5703125" style="66" customWidth="1"/>
    <col min="12794" max="12794" width="24" style="66" customWidth="1"/>
    <col min="12795" max="12798" width="15.85546875" style="66" customWidth="1"/>
    <col min="12799" max="12799" width="1.7109375" style="66" customWidth="1"/>
    <col min="12800" max="12801" width="26" style="66" customWidth="1"/>
    <col min="12802" max="12802" width="1.7109375" style="66" customWidth="1"/>
    <col min="12803" max="12805" width="18.7109375" style="66" customWidth="1"/>
    <col min="12806" max="12806" width="1.7109375" style="66" customWidth="1"/>
    <col min="12807" max="12807" width="25.42578125" style="66" customWidth="1"/>
    <col min="12808" max="12808" width="20.7109375" style="66" customWidth="1"/>
    <col min="12809" max="12809" width="1.7109375" style="66" customWidth="1"/>
    <col min="12810" max="12811" width="25.42578125" style="66" customWidth="1"/>
    <col min="12812" max="12812" width="20.7109375" style="66" customWidth="1"/>
    <col min="12813" max="12813" width="1.7109375" style="66" customWidth="1"/>
    <col min="12814" max="12814" width="41.5703125" style="66" customWidth="1"/>
    <col min="12815" max="12815" width="11.5703125" style="66" customWidth="1"/>
    <col min="12816" max="12816" width="23" style="66" customWidth="1"/>
    <col min="12817" max="12820" width="18.7109375" style="66" customWidth="1"/>
    <col min="12821" max="12821" width="1.7109375" style="66" customWidth="1"/>
    <col min="12822" max="13047" width="9.140625" style="66"/>
    <col min="13048" max="13048" width="40" style="66" customWidth="1"/>
    <col min="13049" max="13049" width="11.5703125" style="66" customWidth="1"/>
    <col min="13050" max="13050" width="24" style="66" customWidth="1"/>
    <col min="13051" max="13054" width="15.85546875" style="66" customWidth="1"/>
    <col min="13055" max="13055" width="1.7109375" style="66" customWidth="1"/>
    <col min="13056" max="13057" width="26" style="66" customWidth="1"/>
    <col min="13058" max="13058" width="1.7109375" style="66" customWidth="1"/>
    <col min="13059" max="13061" width="18.7109375" style="66" customWidth="1"/>
    <col min="13062" max="13062" width="1.7109375" style="66" customWidth="1"/>
    <col min="13063" max="13063" width="25.42578125" style="66" customWidth="1"/>
    <col min="13064" max="13064" width="20.7109375" style="66" customWidth="1"/>
    <col min="13065" max="13065" width="1.7109375" style="66" customWidth="1"/>
    <col min="13066" max="13067" width="25.42578125" style="66" customWidth="1"/>
    <col min="13068" max="13068" width="20.7109375" style="66" customWidth="1"/>
    <col min="13069" max="13069" width="1.7109375" style="66" customWidth="1"/>
    <col min="13070" max="13070" width="41.5703125" style="66" customWidth="1"/>
    <col min="13071" max="13071" width="11.5703125" style="66" customWidth="1"/>
    <col min="13072" max="13072" width="23" style="66" customWidth="1"/>
    <col min="13073" max="13076" width="18.7109375" style="66" customWidth="1"/>
    <col min="13077" max="13077" width="1.7109375" style="66" customWidth="1"/>
    <col min="13078" max="13303" width="9.140625" style="66"/>
    <col min="13304" max="13304" width="40" style="66" customWidth="1"/>
    <col min="13305" max="13305" width="11.5703125" style="66" customWidth="1"/>
    <col min="13306" max="13306" width="24" style="66" customWidth="1"/>
    <col min="13307" max="13310" width="15.85546875" style="66" customWidth="1"/>
    <col min="13311" max="13311" width="1.7109375" style="66" customWidth="1"/>
    <col min="13312" max="13313" width="26" style="66" customWidth="1"/>
    <col min="13314" max="13314" width="1.7109375" style="66" customWidth="1"/>
    <col min="13315" max="13317" width="18.7109375" style="66" customWidth="1"/>
    <col min="13318" max="13318" width="1.7109375" style="66" customWidth="1"/>
    <col min="13319" max="13319" width="25.42578125" style="66" customWidth="1"/>
    <col min="13320" max="13320" width="20.7109375" style="66" customWidth="1"/>
    <col min="13321" max="13321" width="1.7109375" style="66" customWidth="1"/>
    <col min="13322" max="13323" width="25.42578125" style="66" customWidth="1"/>
    <col min="13324" max="13324" width="20.7109375" style="66" customWidth="1"/>
    <col min="13325" max="13325" width="1.7109375" style="66" customWidth="1"/>
    <col min="13326" max="13326" width="41.5703125" style="66" customWidth="1"/>
    <col min="13327" max="13327" width="11.5703125" style="66" customWidth="1"/>
    <col min="13328" max="13328" width="23" style="66" customWidth="1"/>
    <col min="13329" max="13332" width="18.7109375" style="66" customWidth="1"/>
    <col min="13333" max="13333" width="1.7109375" style="66" customWidth="1"/>
    <col min="13334" max="13559" width="9.140625" style="66"/>
    <col min="13560" max="13560" width="40" style="66" customWidth="1"/>
    <col min="13561" max="13561" width="11.5703125" style="66" customWidth="1"/>
    <col min="13562" max="13562" width="24" style="66" customWidth="1"/>
    <col min="13563" max="13566" width="15.85546875" style="66" customWidth="1"/>
    <col min="13567" max="13567" width="1.7109375" style="66" customWidth="1"/>
    <col min="13568" max="13569" width="26" style="66" customWidth="1"/>
    <col min="13570" max="13570" width="1.7109375" style="66" customWidth="1"/>
    <col min="13571" max="13573" width="18.7109375" style="66" customWidth="1"/>
    <col min="13574" max="13574" width="1.7109375" style="66" customWidth="1"/>
    <col min="13575" max="13575" width="25.42578125" style="66" customWidth="1"/>
    <col min="13576" max="13576" width="20.7109375" style="66" customWidth="1"/>
    <col min="13577" max="13577" width="1.7109375" style="66" customWidth="1"/>
    <col min="13578" max="13579" width="25.42578125" style="66" customWidth="1"/>
    <col min="13580" max="13580" width="20.7109375" style="66" customWidth="1"/>
    <col min="13581" max="13581" width="1.7109375" style="66" customWidth="1"/>
    <col min="13582" max="13582" width="41.5703125" style="66" customWidth="1"/>
    <col min="13583" max="13583" width="11.5703125" style="66" customWidth="1"/>
    <col min="13584" max="13584" width="23" style="66" customWidth="1"/>
    <col min="13585" max="13588" width="18.7109375" style="66" customWidth="1"/>
    <col min="13589" max="13589" width="1.7109375" style="66" customWidth="1"/>
    <col min="13590" max="13815" width="9.140625" style="66"/>
    <col min="13816" max="13816" width="40" style="66" customWidth="1"/>
    <col min="13817" max="13817" width="11.5703125" style="66" customWidth="1"/>
    <col min="13818" max="13818" width="24" style="66" customWidth="1"/>
    <col min="13819" max="13822" width="15.85546875" style="66" customWidth="1"/>
    <col min="13823" max="13823" width="1.7109375" style="66" customWidth="1"/>
    <col min="13824" max="13825" width="26" style="66" customWidth="1"/>
    <col min="13826" max="13826" width="1.7109375" style="66" customWidth="1"/>
    <col min="13827" max="13829" width="18.7109375" style="66" customWidth="1"/>
    <col min="13830" max="13830" width="1.7109375" style="66" customWidth="1"/>
    <col min="13831" max="13831" width="25.42578125" style="66" customWidth="1"/>
    <col min="13832" max="13832" width="20.7109375" style="66" customWidth="1"/>
    <col min="13833" max="13833" width="1.7109375" style="66" customWidth="1"/>
    <col min="13834" max="13835" width="25.42578125" style="66" customWidth="1"/>
    <col min="13836" max="13836" width="20.7109375" style="66" customWidth="1"/>
    <col min="13837" max="13837" width="1.7109375" style="66" customWidth="1"/>
    <col min="13838" max="13838" width="41.5703125" style="66" customWidth="1"/>
    <col min="13839" max="13839" width="11.5703125" style="66" customWidth="1"/>
    <col min="13840" max="13840" width="23" style="66" customWidth="1"/>
    <col min="13841" max="13844" width="18.7109375" style="66" customWidth="1"/>
    <col min="13845" max="13845" width="1.7109375" style="66" customWidth="1"/>
    <col min="13846" max="14071" width="9.140625" style="66"/>
    <col min="14072" max="14072" width="40" style="66" customWidth="1"/>
    <col min="14073" max="14073" width="11.5703125" style="66" customWidth="1"/>
    <col min="14074" max="14074" width="24" style="66" customWidth="1"/>
    <col min="14075" max="14078" width="15.85546875" style="66" customWidth="1"/>
    <col min="14079" max="14079" width="1.7109375" style="66" customWidth="1"/>
    <col min="14080" max="14081" width="26" style="66" customWidth="1"/>
    <col min="14082" max="14082" width="1.7109375" style="66" customWidth="1"/>
    <col min="14083" max="14085" width="18.7109375" style="66" customWidth="1"/>
    <col min="14086" max="14086" width="1.7109375" style="66" customWidth="1"/>
    <col min="14087" max="14087" width="25.42578125" style="66" customWidth="1"/>
    <col min="14088" max="14088" width="20.7109375" style="66" customWidth="1"/>
    <col min="14089" max="14089" width="1.7109375" style="66" customWidth="1"/>
    <col min="14090" max="14091" width="25.42578125" style="66" customWidth="1"/>
    <col min="14092" max="14092" width="20.7109375" style="66" customWidth="1"/>
    <col min="14093" max="14093" width="1.7109375" style="66" customWidth="1"/>
    <col min="14094" max="14094" width="41.5703125" style="66" customWidth="1"/>
    <col min="14095" max="14095" width="11.5703125" style="66" customWidth="1"/>
    <col min="14096" max="14096" width="23" style="66" customWidth="1"/>
    <col min="14097" max="14100" width="18.7109375" style="66" customWidth="1"/>
    <col min="14101" max="14101" width="1.7109375" style="66" customWidth="1"/>
    <col min="14102" max="14327" width="9.140625" style="66"/>
    <col min="14328" max="14328" width="40" style="66" customWidth="1"/>
    <col min="14329" max="14329" width="11.5703125" style="66" customWidth="1"/>
    <col min="14330" max="14330" width="24" style="66" customWidth="1"/>
    <col min="14331" max="14334" width="15.85546875" style="66" customWidth="1"/>
    <col min="14335" max="14335" width="1.7109375" style="66" customWidth="1"/>
    <col min="14336" max="14337" width="26" style="66" customWidth="1"/>
    <col min="14338" max="14338" width="1.7109375" style="66" customWidth="1"/>
    <col min="14339" max="14341" width="18.7109375" style="66" customWidth="1"/>
    <col min="14342" max="14342" width="1.7109375" style="66" customWidth="1"/>
    <col min="14343" max="14343" width="25.42578125" style="66" customWidth="1"/>
    <col min="14344" max="14344" width="20.7109375" style="66" customWidth="1"/>
    <col min="14345" max="14345" width="1.7109375" style="66" customWidth="1"/>
    <col min="14346" max="14347" width="25.42578125" style="66" customWidth="1"/>
    <col min="14348" max="14348" width="20.7109375" style="66" customWidth="1"/>
    <col min="14349" max="14349" width="1.7109375" style="66" customWidth="1"/>
    <col min="14350" max="14350" width="41.5703125" style="66" customWidth="1"/>
    <col min="14351" max="14351" width="11.5703125" style="66" customWidth="1"/>
    <col min="14352" max="14352" width="23" style="66" customWidth="1"/>
    <col min="14353" max="14356" width="18.7109375" style="66" customWidth="1"/>
    <col min="14357" max="14357" width="1.7109375" style="66" customWidth="1"/>
    <col min="14358" max="14583" width="9.140625" style="66"/>
    <col min="14584" max="14584" width="40" style="66" customWidth="1"/>
    <col min="14585" max="14585" width="11.5703125" style="66" customWidth="1"/>
    <col min="14586" max="14586" width="24" style="66" customWidth="1"/>
    <col min="14587" max="14590" width="15.85546875" style="66" customWidth="1"/>
    <col min="14591" max="14591" width="1.7109375" style="66" customWidth="1"/>
    <col min="14592" max="14593" width="26" style="66" customWidth="1"/>
    <col min="14594" max="14594" width="1.7109375" style="66" customWidth="1"/>
    <col min="14595" max="14597" width="18.7109375" style="66" customWidth="1"/>
    <col min="14598" max="14598" width="1.7109375" style="66" customWidth="1"/>
    <col min="14599" max="14599" width="25.42578125" style="66" customWidth="1"/>
    <col min="14600" max="14600" width="20.7109375" style="66" customWidth="1"/>
    <col min="14601" max="14601" width="1.7109375" style="66" customWidth="1"/>
    <col min="14602" max="14603" width="25.42578125" style="66" customWidth="1"/>
    <col min="14604" max="14604" width="20.7109375" style="66" customWidth="1"/>
    <col min="14605" max="14605" width="1.7109375" style="66" customWidth="1"/>
    <col min="14606" max="14606" width="41.5703125" style="66" customWidth="1"/>
    <col min="14607" max="14607" width="11.5703125" style="66" customWidth="1"/>
    <col min="14608" max="14608" width="23" style="66" customWidth="1"/>
    <col min="14609" max="14612" width="18.7109375" style="66" customWidth="1"/>
    <col min="14613" max="14613" width="1.7109375" style="66" customWidth="1"/>
    <col min="14614" max="14839" width="9.140625" style="66"/>
    <col min="14840" max="14840" width="40" style="66" customWidth="1"/>
    <col min="14841" max="14841" width="11.5703125" style="66" customWidth="1"/>
    <col min="14842" max="14842" width="24" style="66" customWidth="1"/>
    <col min="14843" max="14846" width="15.85546875" style="66" customWidth="1"/>
    <col min="14847" max="14847" width="1.7109375" style="66" customWidth="1"/>
    <col min="14848" max="14849" width="26" style="66" customWidth="1"/>
    <col min="14850" max="14850" width="1.7109375" style="66" customWidth="1"/>
    <col min="14851" max="14853" width="18.7109375" style="66" customWidth="1"/>
    <col min="14854" max="14854" width="1.7109375" style="66" customWidth="1"/>
    <col min="14855" max="14855" width="25.42578125" style="66" customWidth="1"/>
    <col min="14856" max="14856" width="20.7109375" style="66" customWidth="1"/>
    <col min="14857" max="14857" width="1.7109375" style="66" customWidth="1"/>
    <col min="14858" max="14859" width="25.42578125" style="66" customWidth="1"/>
    <col min="14860" max="14860" width="20.7109375" style="66" customWidth="1"/>
    <col min="14861" max="14861" width="1.7109375" style="66" customWidth="1"/>
    <col min="14862" max="14862" width="41.5703125" style="66" customWidth="1"/>
    <col min="14863" max="14863" width="11.5703125" style="66" customWidth="1"/>
    <col min="14864" max="14864" width="23" style="66" customWidth="1"/>
    <col min="14865" max="14868" width="18.7109375" style="66" customWidth="1"/>
    <col min="14869" max="14869" width="1.7109375" style="66" customWidth="1"/>
    <col min="14870" max="15095" width="9.140625" style="66"/>
    <col min="15096" max="15096" width="40" style="66" customWidth="1"/>
    <col min="15097" max="15097" width="11.5703125" style="66" customWidth="1"/>
    <col min="15098" max="15098" width="24" style="66" customWidth="1"/>
    <col min="15099" max="15102" width="15.85546875" style="66" customWidth="1"/>
    <col min="15103" max="15103" width="1.7109375" style="66" customWidth="1"/>
    <col min="15104" max="15105" width="26" style="66" customWidth="1"/>
    <col min="15106" max="15106" width="1.7109375" style="66" customWidth="1"/>
    <col min="15107" max="15109" width="18.7109375" style="66" customWidth="1"/>
    <col min="15110" max="15110" width="1.7109375" style="66" customWidth="1"/>
    <col min="15111" max="15111" width="25.42578125" style="66" customWidth="1"/>
    <col min="15112" max="15112" width="20.7109375" style="66" customWidth="1"/>
    <col min="15113" max="15113" width="1.7109375" style="66" customWidth="1"/>
    <col min="15114" max="15115" width="25.42578125" style="66" customWidth="1"/>
    <col min="15116" max="15116" width="20.7109375" style="66" customWidth="1"/>
    <col min="15117" max="15117" width="1.7109375" style="66" customWidth="1"/>
    <col min="15118" max="15118" width="41.5703125" style="66" customWidth="1"/>
    <col min="15119" max="15119" width="11.5703125" style="66" customWidth="1"/>
    <col min="15120" max="15120" width="23" style="66" customWidth="1"/>
    <col min="15121" max="15124" width="18.7109375" style="66" customWidth="1"/>
    <col min="15125" max="15125" width="1.7109375" style="66" customWidth="1"/>
    <col min="15126" max="15351" width="9.140625" style="66"/>
    <col min="15352" max="15352" width="40" style="66" customWidth="1"/>
    <col min="15353" max="15353" width="11.5703125" style="66" customWidth="1"/>
    <col min="15354" max="15354" width="24" style="66" customWidth="1"/>
    <col min="15355" max="15358" width="15.85546875" style="66" customWidth="1"/>
    <col min="15359" max="15359" width="1.7109375" style="66" customWidth="1"/>
    <col min="15360" max="15361" width="26" style="66" customWidth="1"/>
    <col min="15362" max="15362" width="1.7109375" style="66" customWidth="1"/>
    <col min="15363" max="15365" width="18.7109375" style="66" customWidth="1"/>
    <col min="15366" max="15366" width="1.7109375" style="66" customWidth="1"/>
    <col min="15367" max="15367" width="25.42578125" style="66" customWidth="1"/>
    <col min="15368" max="15368" width="20.7109375" style="66" customWidth="1"/>
    <col min="15369" max="15369" width="1.7109375" style="66" customWidth="1"/>
    <col min="15370" max="15371" width="25.42578125" style="66" customWidth="1"/>
    <col min="15372" max="15372" width="20.7109375" style="66" customWidth="1"/>
    <col min="15373" max="15373" width="1.7109375" style="66" customWidth="1"/>
    <col min="15374" max="15374" width="41.5703125" style="66" customWidth="1"/>
    <col min="15375" max="15375" width="11.5703125" style="66" customWidth="1"/>
    <col min="15376" max="15376" width="23" style="66" customWidth="1"/>
    <col min="15377" max="15380" width="18.7109375" style="66" customWidth="1"/>
    <col min="15381" max="15381" width="1.7109375" style="66" customWidth="1"/>
    <col min="15382" max="15607" width="9.140625" style="66"/>
    <col min="15608" max="15608" width="40" style="66" customWidth="1"/>
    <col min="15609" max="15609" width="11.5703125" style="66" customWidth="1"/>
    <col min="15610" max="15610" width="24" style="66" customWidth="1"/>
    <col min="15611" max="15614" width="15.85546875" style="66" customWidth="1"/>
    <col min="15615" max="15615" width="1.7109375" style="66" customWidth="1"/>
    <col min="15616" max="15617" width="26" style="66" customWidth="1"/>
    <col min="15618" max="15618" width="1.7109375" style="66" customWidth="1"/>
    <col min="15619" max="15621" width="18.7109375" style="66" customWidth="1"/>
    <col min="15622" max="15622" width="1.7109375" style="66" customWidth="1"/>
    <col min="15623" max="15623" width="25.42578125" style="66" customWidth="1"/>
    <col min="15624" max="15624" width="20.7109375" style="66" customWidth="1"/>
    <col min="15625" max="15625" width="1.7109375" style="66" customWidth="1"/>
    <col min="15626" max="15627" width="25.42578125" style="66" customWidth="1"/>
    <col min="15628" max="15628" width="20.7109375" style="66" customWidth="1"/>
    <col min="15629" max="15629" width="1.7109375" style="66" customWidth="1"/>
    <col min="15630" max="15630" width="41.5703125" style="66" customWidth="1"/>
    <col min="15631" max="15631" width="11.5703125" style="66" customWidth="1"/>
    <col min="15632" max="15632" width="23" style="66" customWidth="1"/>
    <col min="15633" max="15636" width="18.7109375" style="66" customWidth="1"/>
    <col min="15637" max="15637" width="1.7109375" style="66" customWidth="1"/>
    <col min="15638" max="15863" width="9.140625" style="66"/>
    <col min="15864" max="15864" width="40" style="66" customWidth="1"/>
    <col min="15865" max="15865" width="11.5703125" style="66" customWidth="1"/>
    <col min="15866" max="15866" width="24" style="66" customWidth="1"/>
    <col min="15867" max="15870" width="15.85546875" style="66" customWidth="1"/>
    <col min="15871" max="15871" width="1.7109375" style="66" customWidth="1"/>
    <col min="15872" max="15873" width="26" style="66" customWidth="1"/>
    <col min="15874" max="15874" width="1.7109375" style="66" customWidth="1"/>
    <col min="15875" max="15877" width="18.7109375" style="66" customWidth="1"/>
    <col min="15878" max="15878" width="1.7109375" style="66" customWidth="1"/>
    <col min="15879" max="15879" width="25.42578125" style="66" customWidth="1"/>
    <col min="15880" max="15880" width="20.7109375" style="66" customWidth="1"/>
    <col min="15881" max="15881" width="1.7109375" style="66" customWidth="1"/>
    <col min="15882" max="15883" width="25.42578125" style="66" customWidth="1"/>
    <col min="15884" max="15884" width="20.7109375" style="66" customWidth="1"/>
    <col min="15885" max="15885" width="1.7109375" style="66" customWidth="1"/>
    <col min="15886" max="15886" width="41.5703125" style="66" customWidth="1"/>
    <col min="15887" max="15887" width="11.5703125" style="66" customWidth="1"/>
    <col min="15888" max="15888" width="23" style="66" customWidth="1"/>
    <col min="15889" max="15892" width="18.7109375" style="66" customWidth="1"/>
    <col min="15893" max="15893" width="1.7109375" style="66" customWidth="1"/>
    <col min="15894" max="16119" width="9.140625" style="66"/>
    <col min="16120" max="16120" width="40" style="66" customWidth="1"/>
    <col min="16121" max="16121" width="11.5703125" style="66" customWidth="1"/>
    <col min="16122" max="16122" width="24" style="66" customWidth="1"/>
    <col min="16123" max="16126" width="15.85546875" style="66" customWidth="1"/>
    <col min="16127" max="16127" width="1.7109375" style="66" customWidth="1"/>
    <col min="16128" max="16129" width="26" style="66" customWidth="1"/>
    <col min="16130" max="16130" width="1.7109375" style="66" customWidth="1"/>
    <col min="16131" max="16133" width="18.7109375" style="66" customWidth="1"/>
    <col min="16134" max="16134" width="1.7109375" style="66" customWidth="1"/>
    <col min="16135" max="16135" width="25.42578125" style="66" customWidth="1"/>
    <col min="16136" max="16136" width="20.7109375" style="66" customWidth="1"/>
    <col min="16137" max="16137" width="1.7109375" style="66" customWidth="1"/>
    <col min="16138" max="16139" width="25.42578125" style="66" customWidth="1"/>
    <col min="16140" max="16140" width="20.7109375" style="66" customWidth="1"/>
    <col min="16141" max="16141" width="1.7109375" style="66" customWidth="1"/>
    <col min="16142" max="16142" width="41.5703125" style="66" customWidth="1"/>
    <col min="16143" max="16143" width="11.5703125" style="66" customWidth="1"/>
    <col min="16144" max="16144" width="23" style="66" customWidth="1"/>
    <col min="16145" max="16148" width="18.7109375" style="66" customWidth="1"/>
    <col min="16149" max="16149" width="1.7109375" style="66" customWidth="1"/>
    <col min="16150" max="16384" width="9.140625" style="66"/>
  </cols>
  <sheetData>
    <row r="1" spans="2:21" s="62" customFormat="1" ht="81.75" customHeight="1" x14ac:dyDescent="0.25">
      <c r="B1" s="212" t="s">
        <v>344</v>
      </c>
      <c r="C1" s="213"/>
      <c r="D1" s="213"/>
      <c r="E1" s="213"/>
      <c r="F1" s="213"/>
      <c r="G1" s="213"/>
      <c r="H1" s="213"/>
      <c r="I1" s="213"/>
      <c r="J1" s="213"/>
      <c r="K1" s="213"/>
      <c r="L1" s="213"/>
      <c r="M1" s="213"/>
      <c r="N1" s="213"/>
      <c r="O1" s="213"/>
      <c r="P1" s="213"/>
      <c r="Q1" s="213"/>
      <c r="R1" s="213"/>
      <c r="S1" s="213"/>
      <c r="T1" s="213"/>
      <c r="U1" s="213"/>
    </row>
    <row r="2" spans="2:21" ht="33" customHeight="1" x14ac:dyDescent="0.3">
      <c r="B2" s="63" t="s">
        <v>342</v>
      </c>
      <c r="C2" s="64" t="s">
        <v>340</v>
      </c>
      <c r="D2" s="65"/>
      <c r="E2" s="65"/>
      <c r="F2" s="65"/>
      <c r="G2" s="65"/>
      <c r="H2" s="65"/>
      <c r="I2" s="65"/>
      <c r="J2" s="65"/>
      <c r="K2" s="65"/>
      <c r="L2" s="65"/>
      <c r="M2" s="65"/>
      <c r="N2" s="65"/>
      <c r="O2" s="65"/>
      <c r="P2" s="65"/>
      <c r="Q2" s="65"/>
      <c r="R2" s="65"/>
      <c r="S2" s="65"/>
      <c r="T2" s="65"/>
      <c r="U2" s="65"/>
    </row>
    <row r="3" spans="2:21" ht="33" customHeight="1" x14ac:dyDescent="0.3">
      <c r="B3" s="63" t="s">
        <v>232</v>
      </c>
      <c r="C3" s="64" t="s">
        <v>341</v>
      </c>
      <c r="D3" s="65"/>
      <c r="E3" s="65"/>
      <c r="F3" s="65"/>
      <c r="G3" s="65"/>
      <c r="H3" s="65"/>
      <c r="I3" s="65"/>
      <c r="J3" s="65"/>
      <c r="K3" s="65"/>
      <c r="L3" s="65"/>
      <c r="M3" s="65"/>
      <c r="N3" s="67"/>
      <c r="O3" s="67"/>
      <c r="P3" s="67"/>
      <c r="Q3" s="67"/>
      <c r="R3" s="67"/>
      <c r="S3" s="67"/>
      <c r="T3" s="67"/>
      <c r="U3" s="67"/>
    </row>
    <row r="4" spans="2:21" s="68" customFormat="1" ht="19.5" customHeight="1" x14ac:dyDescent="0.25">
      <c r="B4" s="214" t="s">
        <v>227</v>
      </c>
      <c r="C4" s="214"/>
      <c r="D4" s="214"/>
      <c r="E4" s="214"/>
      <c r="F4" s="214"/>
      <c r="G4" s="214"/>
      <c r="I4" s="214" t="s">
        <v>228</v>
      </c>
      <c r="J4" s="214"/>
      <c r="L4" s="214" t="s">
        <v>229</v>
      </c>
      <c r="M4" s="214"/>
      <c r="N4" s="214"/>
      <c r="P4" s="214" t="s">
        <v>230</v>
      </c>
      <c r="Q4" s="214"/>
      <c r="S4" s="214" t="s">
        <v>231</v>
      </c>
      <c r="T4" s="214"/>
      <c r="U4" s="214"/>
    </row>
    <row r="5" spans="2:21" s="69" customFormat="1" ht="157.5" customHeight="1" x14ac:dyDescent="0.25">
      <c r="B5" s="206" t="s">
        <v>345</v>
      </c>
      <c r="C5" s="207"/>
      <c r="D5" s="207"/>
      <c r="E5" s="207"/>
      <c r="F5" s="207"/>
      <c r="G5" s="208"/>
      <c r="I5" s="206" t="s">
        <v>319</v>
      </c>
      <c r="J5" s="208"/>
      <c r="L5" s="206" t="s">
        <v>346</v>
      </c>
      <c r="M5" s="207"/>
      <c r="N5" s="208"/>
      <c r="P5" s="206" t="s">
        <v>316</v>
      </c>
      <c r="Q5" s="208"/>
      <c r="S5" s="206" t="s">
        <v>320</v>
      </c>
      <c r="T5" s="207"/>
      <c r="U5" s="208"/>
    </row>
    <row r="6" spans="2:21" s="70" customFormat="1" ht="80.25" customHeight="1" x14ac:dyDescent="0.25">
      <c r="B6" s="209"/>
      <c r="C6" s="210"/>
      <c r="D6" s="210"/>
      <c r="E6" s="210"/>
      <c r="F6" s="210"/>
      <c r="G6" s="211"/>
      <c r="I6" s="209"/>
      <c r="J6" s="211"/>
      <c r="L6" s="209"/>
      <c r="M6" s="210"/>
      <c r="N6" s="211"/>
      <c r="P6" s="209"/>
      <c r="Q6" s="211"/>
      <c r="S6" s="209"/>
      <c r="T6" s="210"/>
      <c r="U6" s="211"/>
    </row>
    <row r="7" spans="2:21" ht="82.5" customHeight="1" x14ac:dyDescent="0.3">
      <c r="B7" s="71" t="s">
        <v>0</v>
      </c>
      <c r="C7" s="71" t="s">
        <v>178</v>
      </c>
      <c r="D7" s="71" t="s">
        <v>133</v>
      </c>
      <c r="E7" s="72" t="s">
        <v>131</v>
      </c>
      <c r="F7" s="72" t="s">
        <v>318</v>
      </c>
      <c r="G7" s="72" t="s">
        <v>317</v>
      </c>
      <c r="I7" s="72" t="s">
        <v>27</v>
      </c>
      <c r="J7" s="72" t="s">
        <v>173</v>
      </c>
      <c r="L7" s="73" t="s">
        <v>217</v>
      </c>
      <c r="M7" s="73" t="s">
        <v>212</v>
      </c>
      <c r="N7" s="73" t="s">
        <v>210</v>
      </c>
      <c r="P7" s="203" t="s">
        <v>332</v>
      </c>
      <c r="Q7" s="204"/>
      <c r="S7" s="203" t="s">
        <v>333</v>
      </c>
      <c r="T7" s="205"/>
      <c r="U7" s="204"/>
    </row>
    <row r="8" spans="2:21" ht="15" customHeight="1" x14ac:dyDescent="0.3">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3">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x14ac:dyDescent="0.3">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x14ac:dyDescent="0.3">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x14ac:dyDescent="0.3">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x14ac:dyDescent="0.3">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x14ac:dyDescent="0.3">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x14ac:dyDescent="0.3">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3">
      <c r="B16" s="74" t="s">
        <v>34</v>
      </c>
      <c r="C16" s="74" t="s">
        <v>198</v>
      </c>
      <c r="D16" s="75">
        <v>280</v>
      </c>
      <c r="E16" s="75">
        <v>214</v>
      </c>
      <c r="F16" s="75">
        <v>162</v>
      </c>
      <c r="G16" s="75">
        <v>131</v>
      </c>
      <c r="I16" s="78"/>
      <c r="J16" s="79"/>
      <c r="L16" s="77">
        <v>9</v>
      </c>
      <c r="M16" s="75">
        <f t="shared" si="0"/>
        <v>495</v>
      </c>
      <c r="N16" s="75">
        <f t="shared" si="1"/>
        <v>1080</v>
      </c>
      <c r="P16" s="80" t="s">
        <v>208</v>
      </c>
    </row>
    <row r="17" spans="2:16" x14ac:dyDescent="0.3">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3">
      <c r="B18" s="74" t="s">
        <v>35</v>
      </c>
      <c r="C18" s="74" t="s">
        <v>198</v>
      </c>
      <c r="D18" s="75">
        <v>280</v>
      </c>
      <c r="E18" s="75">
        <v>214</v>
      </c>
      <c r="F18" s="75">
        <v>162</v>
      </c>
      <c r="G18" s="75">
        <v>131</v>
      </c>
      <c r="L18" s="77">
        <v>11</v>
      </c>
      <c r="M18" s="75">
        <f t="shared" si="0"/>
        <v>605</v>
      </c>
      <c r="N18" s="75">
        <f t="shared" si="1"/>
        <v>1320</v>
      </c>
      <c r="P18" s="82" t="s">
        <v>212</v>
      </c>
    </row>
    <row r="19" spans="2:16" x14ac:dyDescent="0.3">
      <c r="B19" s="74" t="s">
        <v>36</v>
      </c>
      <c r="C19" s="74" t="s">
        <v>198</v>
      </c>
      <c r="D19" s="75">
        <v>280</v>
      </c>
      <c r="E19" s="75">
        <v>214</v>
      </c>
      <c r="F19" s="75">
        <v>162</v>
      </c>
      <c r="G19" s="75">
        <v>131</v>
      </c>
      <c r="L19" s="77">
        <v>12</v>
      </c>
      <c r="M19" s="75">
        <f t="shared" si="0"/>
        <v>660</v>
      </c>
      <c r="N19" s="75">
        <f t="shared" si="1"/>
        <v>1440</v>
      </c>
    </row>
    <row r="20" spans="2:16" ht="13.9" x14ac:dyDescent="0.25">
      <c r="B20" s="74" t="s">
        <v>41</v>
      </c>
      <c r="C20" s="74" t="s">
        <v>198</v>
      </c>
      <c r="D20" s="75">
        <v>164</v>
      </c>
      <c r="E20" s="75">
        <v>137</v>
      </c>
      <c r="F20" s="75">
        <v>102</v>
      </c>
      <c r="G20" s="75">
        <v>78</v>
      </c>
      <c r="L20" s="77">
        <v>13</v>
      </c>
      <c r="M20" s="75">
        <f t="shared" si="0"/>
        <v>715</v>
      </c>
      <c r="N20" s="75">
        <f t="shared" si="1"/>
        <v>1560</v>
      </c>
    </row>
    <row r="21" spans="2:16" ht="13.9" x14ac:dyDescent="0.25">
      <c r="B21" s="74" t="s">
        <v>48</v>
      </c>
      <c r="C21" s="74" t="s">
        <v>198</v>
      </c>
      <c r="D21" s="75">
        <v>88</v>
      </c>
      <c r="E21" s="75">
        <v>74</v>
      </c>
      <c r="F21" s="75">
        <v>55</v>
      </c>
      <c r="G21" s="75">
        <v>39</v>
      </c>
      <c r="L21" s="77">
        <v>14</v>
      </c>
      <c r="M21" s="75">
        <f t="shared" si="0"/>
        <v>770</v>
      </c>
      <c r="N21" s="75">
        <f t="shared" si="1"/>
        <v>1680</v>
      </c>
    </row>
    <row r="22" spans="2:16" x14ac:dyDescent="0.3">
      <c r="B22" s="74" t="s">
        <v>37</v>
      </c>
      <c r="C22" s="74" t="s">
        <v>198</v>
      </c>
      <c r="D22" s="75">
        <v>280</v>
      </c>
      <c r="E22" s="75">
        <v>214</v>
      </c>
      <c r="F22" s="75">
        <v>162</v>
      </c>
      <c r="G22" s="75">
        <v>131</v>
      </c>
      <c r="L22" s="77">
        <v>15</v>
      </c>
      <c r="M22" s="83">
        <f>((L22-$L$21)*40)+770</f>
        <v>810</v>
      </c>
      <c r="N22" s="84">
        <f>((L22-$L$21)*70)+1680</f>
        <v>1750</v>
      </c>
    </row>
    <row r="23" spans="2:16" x14ac:dyDescent="0.3">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3">
      <c r="B24" s="74" t="s">
        <v>38</v>
      </c>
      <c r="C24" s="74" t="s">
        <v>198</v>
      </c>
      <c r="D24" s="75">
        <v>280</v>
      </c>
      <c r="E24" s="75">
        <v>214</v>
      </c>
      <c r="F24" s="75">
        <v>162</v>
      </c>
      <c r="G24" s="75">
        <v>131</v>
      </c>
      <c r="L24" s="77">
        <v>17</v>
      </c>
      <c r="M24" s="83">
        <f t="shared" si="2"/>
        <v>890</v>
      </c>
      <c r="N24" s="84">
        <f t="shared" si="3"/>
        <v>1890</v>
      </c>
    </row>
    <row r="25" spans="2:16" x14ac:dyDescent="0.3">
      <c r="B25" s="74" t="s">
        <v>49</v>
      </c>
      <c r="C25" s="74" t="s">
        <v>198</v>
      </c>
      <c r="D25" s="75">
        <v>88</v>
      </c>
      <c r="E25" s="75">
        <v>74</v>
      </c>
      <c r="F25" s="75">
        <v>55</v>
      </c>
      <c r="G25" s="75">
        <v>39</v>
      </c>
      <c r="L25" s="77">
        <v>18</v>
      </c>
      <c r="M25" s="83">
        <f t="shared" si="2"/>
        <v>930</v>
      </c>
      <c r="N25" s="84">
        <f t="shared" si="3"/>
        <v>1960</v>
      </c>
    </row>
    <row r="26" spans="2:16" x14ac:dyDescent="0.3">
      <c r="B26" s="74" t="s">
        <v>30</v>
      </c>
      <c r="C26" s="74" t="s">
        <v>198</v>
      </c>
      <c r="D26" s="75">
        <v>294</v>
      </c>
      <c r="E26" s="75">
        <v>241</v>
      </c>
      <c r="F26" s="75">
        <v>190</v>
      </c>
      <c r="G26" s="75">
        <v>157</v>
      </c>
      <c r="L26" s="77">
        <v>19</v>
      </c>
      <c r="M26" s="83">
        <f t="shared" si="2"/>
        <v>970</v>
      </c>
      <c r="N26" s="84">
        <f t="shared" si="3"/>
        <v>2030</v>
      </c>
    </row>
    <row r="27" spans="2:16" x14ac:dyDescent="0.3">
      <c r="B27" s="74" t="s">
        <v>50</v>
      </c>
      <c r="C27" s="74" t="s">
        <v>198</v>
      </c>
      <c r="D27" s="75">
        <v>88</v>
      </c>
      <c r="E27" s="75">
        <v>74</v>
      </c>
      <c r="F27" s="75">
        <v>55</v>
      </c>
      <c r="G27" s="75">
        <v>39</v>
      </c>
      <c r="L27" s="77">
        <v>20</v>
      </c>
      <c r="M27" s="83">
        <f t="shared" si="2"/>
        <v>1010</v>
      </c>
      <c r="N27" s="84">
        <f t="shared" si="3"/>
        <v>2100</v>
      </c>
    </row>
    <row r="28" spans="2:16" x14ac:dyDescent="0.3">
      <c r="B28" s="74" t="s">
        <v>136</v>
      </c>
      <c r="C28" s="74" t="s">
        <v>198</v>
      </c>
      <c r="D28" s="75">
        <v>294</v>
      </c>
      <c r="E28" s="75">
        <v>241</v>
      </c>
      <c r="F28" s="75">
        <v>190</v>
      </c>
      <c r="G28" s="75">
        <v>157</v>
      </c>
      <c r="L28" s="77">
        <v>21</v>
      </c>
      <c r="M28" s="83">
        <f t="shared" si="2"/>
        <v>1050</v>
      </c>
      <c r="N28" s="84">
        <f t="shared" si="3"/>
        <v>2170</v>
      </c>
    </row>
    <row r="29" spans="2:16" x14ac:dyDescent="0.3">
      <c r="B29" s="74" t="s">
        <v>42</v>
      </c>
      <c r="C29" s="74" t="s">
        <v>198</v>
      </c>
      <c r="D29" s="75">
        <v>164</v>
      </c>
      <c r="E29" s="75">
        <v>137</v>
      </c>
      <c r="F29" s="75">
        <v>102</v>
      </c>
      <c r="G29" s="75">
        <v>78</v>
      </c>
      <c r="L29" s="77">
        <v>22</v>
      </c>
      <c r="M29" s="83">
        <f t="shared" si="2"/>
        <v>1090</v>
      </c>
      <c r="N29" s="84">
        <f t="shared" si="3"/>
        <v>2240</v>
      </c>
    </row>
    <row r="30" spans="2:16" x14ac:dyDescent="0.3">
      <c r="B30" s="74" t="s">
        <v>31</v>
      </c>
      <c r="C30" s="74" t="s">
        <v>198</v>
      </c>
      <c r="D30" s="75">
        <v>294</v>
      </c>
      <c r="E30" s="75">
        <v>241</v>
      </c>
      <c r="F30" s="75">
        <v>190</v>
      </c>
      <c r="G30" s="75">
        <v>157</v>
      </c>
      <c r="L30" s="77">
        <v>23</v>
      </c>
      <c r="M30" s="83">
        <f t="shared" si="2"/>
        <v>1130</v>
      </c>
      <c r="N30" s="84">
        <f t="shared" si="3"/>
        <v>2310</v>
      </c>
    </row>
    <row r="31" spans="2:16" x14ac:dyDescent="0.3">
      <c r="B31" s="74" t="s">
        <v>32</v>
      </c>
      <c r="C31" s="74" t="s">
        <v>198</v>
      </c>
      <c r="D31" s="75">
        <v>294</v>
      </c>
      <c r="E31" s="75">
        <v>241</v>
      </c>
      <c r="F31" s="75">
        <v>190</v>
      </c>
      <c r="G31" s="75">
        <v>157</v>
      </c>
      <c r="L31" s="77">
        <v>24</v>
      </c>
      <c r="M31" s="83">
        <f t="shared" si="2"/>
        <v>1170</v>
      </c>
      <c r="N31" s="84">
        <f t="shared" si="3"/>
        <v>2380</v>
      </c>
    </row>
    <row r="32" spans="2:16" x14ac:dyDescent="0.3">
      <c r="B32" s="74" t="s">
        <v>51</v>
      </c>
      <c r="C32" s="74" t="s">
        <v>198</v>
      </c>
      <c r="D32" s="75">
        <v>88</v>
      </c>
      <c r="E32" s="75">
        <v>74</v>
      </c>
      <c r="F32" s="75">
        <v>55</v>
      </c>
      <c r="G32" s="75">
        <v>39</v>
      </c>
      <c r="L32" s="77">
        <v>25</v>
      </c>
      <c r="M32" s="83">
        <f t="shared" si="2"/>
        <v>1210</v>
      </c>
      <c r="N32" s="84">
        <f t="shared" si="3"/>
        <v>2450</v>
      </c>
    </row>
    <row r="33" spans="2:14" x14ac:dyDescent="0.3">
      <c r="B33" s="74" t="s">
        <v>43</v>
      </c>
      <c r="C33" s="74" t="s">
        <v>198</v>
      </c>
      <c r="D33" s="75">
        <v>164</v>
      </c>
      <c r="E33" s="75">
        <v>137</v>
      </c>
      <c r="F33" s="75">
        <v>102</v>
      </c>
      <c r="G33" s="75">
        <v>78</v>
      </c>
      <c r="L33" s="77">
        <v>26</v>
      </c>
      <c r="M33" s="83">
        <f t="shared" si="2"/>
        <v>1250</v>
      </c>
      <c r="N33" s="84">
        <f t="shared" si="3"/>
        <v>2520</v>
      </c>
    </row>
    <row r="34" spans="2:14" x14ac:dyDescent="0.3">
      <c r="B34" s="74" t="s">
        <v>52</v>
      </c>
      <c r="C34" s="74" t="s">
        <v>198</v>
      </c>
      <c r="D34" s="75">
        <v>88</v>
      </c>
      <c r="E34" s="75">
        <v>74</v>
      </c>
      <c r="F34" s="75">
        <v>55</v>
      </c>
      <c r="G34" s="75">
        <v>39</v>
      </c>
      <c r="L34" s="77">
        <v>27</v>
      </c>
      <c r="M34" s="83">
        <f t="shared" si="2"/>
        <v>1290</v>
      </c>
      <c r="N34" s="84">
        <f t="shared" si="3"/>
        <v>2590</v>
      </c>
    </row>
    <row r="35" spans="2:14" x14ac:dyDescent="0.3">
      <c r="B35" s="74" t="s">
        <v>155</v>
      </c>
      <c r="C35" s="74" t="s">
        <v>198</v>
      </c>
      <c r="D35" s="75">
        <v>88</v>
      </c>
      <c r="E35" s="75">
        <v>74</v>
      </c>
      <c r="F35" s="75">
        <v>55</v>
      </c>
      <c r="G35" s="75">
        <v>39</v>
      </c>
      <c r="L35" s="77">
        <v>28</v>
      </c>
      <c r="M35" s="83">
        <f t="shared" si="2"/>
        <v>1330</v>
      </c>
      <c r="N35" s="84">
        <f t="shared" si="3"/>
        <v>2660</v>
      </c>
    </row>
    <row r="36" spans="2:14" x14ac:dyDescent="0.3">
      <c r="B36" s="74" t="s">
        <v>44</v>
      </c>
      <c r="C36" s="74" t="s">
        <v>198</v>
      </c>
      <c r="D36" s="75">
        <v>164</v>
      </c>
      <c r="E36" s="75">
        <v>137</v>
      </c>
      <c r="F36" s="75">
        <v>102</v>
      </c>
      <c r="G36" s="75">
        <v>78</v>
      </c>
      <c r="L36" s="77">
        <v>29</v>
      </c>
      <c r="M36" s="83">
        <f t="shared" si="2"/>
        <v>1370</v>
      </c>
      <c r="N36" s="84">
        <f t="shared" si="3"/>
        <v>2730</v>
      </c>
    </row>
    <row r="37" spans="2:14" x14ac:dyDescent="0.3">
      <c r="B37" s="74" t="s">
        <v>45</v>
      </c>
      <c r="C37" s="74" t="s">
        <v>198</v>
      </c>
      <c r="D37" s="75">
        <v>164</v>
      </c>
      <c r="E37" s="75">
        <v>137</v>
      </c>
      <c r="F37" s="75">
        <v>102</v>
      </c>
      <c r="G37" s="75">
        <v>78</v>
      </c>
      <c r="L37" s="77">
        <v>30</v>
      </c>
      <c r="M37" s="83">
        <f t="shared" si="2"/>
        <v>1410</v>
      </c>
      <c r="N37" s="84">
        <f t="shared" si="3"/>
        <v>2800</v>
      </c>
    </row>
    <row r="38" spans="2:14" x14ac:dyDescent="0.3">
      <c r="B38" s="74" t="s">
        <v>33</v>
      </c>
      <c r="C38" s="74" t="s">
        <v>198</v>
      </c>
      <c r="D38" s="75">
        <v>294</v>
      </c>
      <c r="E38" s="75">
        <v>241</v>
      </c>
      <c r="F38" s="75">
        <v>190</v>
      </c>
      <c r="G38" s="75">
        <v>157</v>
      </c>
      <c r="L38" s="77">
        <v>31</v>
      </c>
      <c r="M38" s="83">
        <f t="shared" si="2"/>
        <v>1450</v>
      </c>
      <c r="N38" s="84">
        <f t="shared" si="3"/>
        <v>2870</v>
      </c>
    </row>
    <row r="39" spans="2:14" x14ac:dyDescent="0.3">
      <c r="B39" s="74" t="s">
        <v>53</v>
      </c>
      <c r="C39" s="74" t="s">
        <v>198</v>
      </c>
      <c r="D39" s="75">
        <v>88</v>
      </c>
      <c r="E39" s="75">
        <v>74</v>
      </c>
      <c r="F39" s="75">
        <v>55</v>
      </c>
      <c r="G39" s="75">
        <v>39</v>
      </c>
      <c r="L39" s="77">
        <v>32</v>
      </c>
      <c r="M39" s="83">
        <f t="shared" si="2"/>
        <v>1490</v>
      </c>
      <c r="N39" s="84">
        <f t="shared" si="3"/>
        <v>2940</v>
      </c>
    </row>
    <row r="40" spans="2:14" x14ac:dyDescent="0.3">
      <c r="B40" s="74" t="s">
        <v>39</v>
      </c>
      <c r="C40" s="74" t="s">
        <v>198</v>
      </c>
      <c r="D40" s="75">
        <v>280</v>
      </c>
      <c r="E40" s="75">
        <v>214</v>
      </c>
      <c r="F40" s="75">
        <v>162</v>
      </c>
      <c r="G40" s="75">
        <v>131</v>
      </c>
      <c r="L40" s="77">
        <v>33</v>
      </c>
      <c r="M40" s="83">
        <f t="shared" si="2"/>
        <v>1530</v>
      </c>
      <c r="N40" s="84">
        <f t="shared" si="3"/>
        <v>3010</v>
      </c>
    </row>
    <row r="41" spans="2:14" x14ac:dyDescent="0.3">
      <c r="B41" s="76" t="s">
        <v>7</v>
      </c>
      <c r="C41" s="76" t="s">
        <v>199</v>
      </c>
      <c r="D41" s="85">
        <v>77</v>
      </c>
      <c r="E41" s="85">
        <v>57</v>
      </c>
      <c r="F41" s="85">
        <v>40</v>
      </c>
      <c r="G41" s="85">
        <v>32</v>
      </c>
      <c r="L41" s="77">
        <v>34</v>
      </c>
      <c r="M41" s="83">
        <f t="shared" si="2"/>
        <v>1570</v>
      </c>
      <c r="N41" s="84">
        <f t="shared" si="3"/>
        <v>3080</v>
      </c>
    </row>
    <row r="42" spans="2:14" x14ac:dyDescent="0.3">
      <c r="B42" s="76" t="s">
        <v>55</v>
      </c>
      <c r="C42" s="76" t="s">
        <v>199</v>
      </c>
      <c r="D42" s="85">
        <v>108</v>
      </c>
      <c r="E42" s="85">
        <v>80</v>
      </c>
      <c r="F42" s="85">
        <v>57</v>
      </c>
      <c r="G42" s="85">
        <v>45</v>
      </c>
      <c r="L42" s="77">
        <v>35</v>
      </c>
      <c r="M42" s="83">
        <f t="shared" si="2"/>
        <v>1610</v>
      </c>
      <c r="N42" s="84">
        <f t="shared" si="3"/>
        <v>3150</v>
      </c>
    </row>
    <row r="43" spans="2:14" x14ac:dyDescent="0.3">
      <c r="B43" s="76" t="s">
        <v>56</v>
      </c>
      <c r="C43" s="76" t="s">
        <v>199</v>
      </c>
      <c r="D43" s="85">
        <v>47</v>
      </c>
      <c r="E43" s="85">
        <v>33</v>
      </c>
      <c r="F43" s="85">
        <v>22</v>
      </c>
      <c r="G43" s="85">
        <v>17</v>
      </c>
      <c r="L43" s="77">
        <v>36</v>
      </c>
      <c r="M43" s="83">
        <f t="shared" si="2"/>
        <v>1650</v>
      </c>
      <c r="N43" s="84">
        <f t="shared" si="3"/>
        <v>3220</v>
      </c>
    </row>
    <row r="44" spans="2:14" x14ac:dyDescent="0.3">
      <c r="B44" s="76" t="s">
        <v>234</v>
      </c>
      <c r="C44" s="76" t="s">
        <v>199</v>
      </c>
      <c r="D44" s="85">
        <v>108</v>
      </c>
      <c r="E44" s="85">
        <v>80</v>
      </c>
      <c r="F44" s="85">
        <v>57</v>
      </c>
      <c r="G44" s="85">
        <v>45</v>
      </c>
      <c r="L44" s="77">
        <v>37</v>
      </c>
      <c r="M44" s="83">
        <f t="shared" si="2"/>
        <v>1690</v>
      </c>
      <c r="N44" s="84">
        <f t="shared" si="3"/>
        <v>3290</v>
      </c>
    </row>
    <row r="45" spans="2:14" x14ac:dyDescent="0.3">
      <c r="B45" s="76" t="s">
        <v>235</v>
      </c>
      <c r="C45" s="76" t="s">
        <v>199</v>
      </c>
      <c r="D45" s="85">
        <v>108</v>
      </c>
      <c r="E45" s="85">
        <v>80</v>
      </c>
      <c r="F45" s="85">
        <v>57</v>
      </c>
      <c r="G45" s="85">
        <v>45</v>
      </c>
      <c r="L45" s="77">
        <v>38</v>
      </c>
      <c r="M45" s="83">
        <f t="shared" si="2"/>
        <v>1730</v>
      </c>
      <c r="N45" s="84">
        <f t="shared" si="3"/>
        <v>3360</v>
      </c>
    </row>
    <row r="46" spans="2:14" x14ac:dyDescent="0.3">
      <c r="B46" s="76" t="s">
        <v>57</v>
      </c>
      <c r="C46" s="76" t="s">
        <v>199</v>
      </c>
      <c r="D46" s="85">
        <v>108</v>
      </c>
      <c r="E46" s="85">
        <v>80</v>
      </c>
      <c r="F46" s="85">
        <v>57</v>
      </c>
      <c r="G46" s="85">
        <v>45</v>
      </c>
      <c r="L46" s="77">
        <v>39</v>
      </c>
      <c r="M46" s="83">
        <f t="shared" si="2"/>
        <v>1770</v>
      </c>
      <c r="N46" s="84">
        <f t="shared" si="3"/>
        <v>3430</v>
      </c>
    </row>
    <row r="47" spans="2:14" x14ac:dyDescent="0.3">
      <c r="B47" s="76" t="s">
        <v>58</v>
      </c>
      <c r="C47" s="76" t="s">
        <v>199</v>
      </c>
      <c r="D47" s="85">
        <v>47</v>
      </c>
      <c r="E47" s="85">
        <v>33</v>
      </c>
      <c r="F47" s="85">
        <v>22</v>
      </c>
      <c r="G47" s="85">
        <v>17</v>
      </c>
      <c r="L47" s="77">
        <v>40</v>
      </c>
      <c r="M47" s="83">
        <f t="shared" si="2"/>
        <v>1810</v>
      </c>
      <c r="N47" s="84">
        <f t="shared" si="3"/>
        <v>3500</v>
      </c>
    </row>
    <row r="48" spans="2:14" x14ac:dyDescent="0.3">
      <c r="B48" s="76" t="s">
        <v>59</v>
      </c>
      <c r="C48" s="76" t="s">
        <v>199</v>
      </c>
      <c r="D48" s="85">
        <v>77</v>
      </c>
      <c r="E48" s="85">
        <v>57</v>
      </c>
      <c r="F48" s="85">
        <v>40</v>
      </c>
      <c r="G48" s="85">
        <v>32</v>
      </c>
      <c r="L48" s="77">
        <v>41</v>
      </c>
      <c r="M48" s="83">
        <f t="shared" si="2"/>
        <v>1850</v>
      </c>
      <c r="N48" s="84">
        <f t="shared" si="3"/>
        <v>3570</v>
      </c>
    </row>
    <row r="49" spans="2:14" x14ac:dyDescent="0.3">
      <c r="B49" s="76" t="s">
        <v>236</v>
      </c>
      <c r="C49" s="76" t="s">
        <v>199</v>
      </c>
      <c r="D49" s="85">
        <v>77</v>
      </c>
      <c r="E49" s="85">
        <v>57</v>
      </c>
      <c r="F49" s="85">
        <v>40</v>
      </c>
      <c r="G49" s="85">
        <v>32</v>
      </c>
      <c r="L49" s="77">
        <v>42</v>
      </c>
      <c r="M49" s="83">
        <f t="shared" si="2"/>
        <v>1890</v>
      </c>
      <c r="N49" s="84">
        <f t="shared" si="3"/>
        <v>3640</v>
      </c>
    </row>
    <row r="50" spans="2:14" x14ac:dyDescent="0.3">
      <c r="B50" s="76" t="s">
        <v>60</v>
      </c>
      <c r="C50" s="76" t="s">
        <v>199</v>
      </c>
      <c r="D50" s="85">
        <v>47</v>
      </c>
      <c r="E50" s="85">
        <v>33</v>
      </c>
      <c r="F50" s="85">
        <v>22</v>
      </c>
      <c r="G50" s="85">
        <v>17</v>
      </c>
      <c r="L50" s="77">
        <v>43</v>
      </c>
      <c r="M50" s="83">
        <f t="shared" si="2"/>
        <v>1930</v>
      </c>
      <c r="N50" s="84">
        <f t="shared" si="3"/>
        <v>3710</v>
      </c>
    </row>
    <row r="51" spans="2:14" x14ac:dyDescent="0.3">
      <c r="B51" s="76" t="s">
        <v>237</v>
      </c>
      <c r="C51" s="76" t="s">
        <v>199</v>
      </c>
      <c r="D51" s="85">
        <v>108</v>
      </c>
      <c r="E51" s="85">
        <v>80</v>
      </c>
      <c r="F51" s="85">
        <v>57</v>
      </c>
      <c r="G51" s="85">
        <v>45</v>
      </c>
      <c r="L51" s="77">
        <v>44</v>
      </c>
      <c r="M51" s="83">
        <f t="shared" si="2"/>
        <v>1970</v>
      </c>
      <c r="N51" s="84">
        <f t="shared" si="3"/>
        <v>3780</v>
      </c>
    </row>
    <row r="52" spans="2:14" x14ac:dyDescent="0.3">
      <c r="B52" s="76" t="s">
        <v>62</v>
      </c>
      <c r="C52" s="76" t="s">
        <v>199</v>
      </c>
      <c r="D52" s="85">
        <v>47</v>
      </c>
      <c r="E52" s="85">
        <v>33</v>
      </c>
      <c r="F52" s="85">
        <v>22</v>
      </c>
      <c r="G52" s="85">
        <v>17</v>
      </c>
      <c r="L52" s="77">
        <v>45</v>
      </c>
      <c r="M52" s="83">
        <f t="shared" si="2"/>
        <v>2010</v>
      </c>
      <c r="N52" s="84">
        <f t="shared" si="3"/>
        <v>3850</v>
      </c>
    </row>
    <row r="53" spans="2:14" x14ac:dyDescent="0.3">
      <c r="B53" s="76" t="s">
        <v>238</v>
      </c>
      <c r="C53" s="76" t="s">
        <v>199</v>
      </c>
      <c r="D53" s="85">
        <v>47</v>
      </c>
      <c r="E53" s="85">
        <v>33</v>
      </c>
      <c r="F53" s="85">
        <v>22</v>
      </c>
      <c r="G53" s="85">
        <v>17</v>
      </c>
      <c r="L53" s="77">
        <v>46</v>
      </c>
      <c r="M53" s="83">
        <f t="shared" si="2"/>
        <v>2050</v>
      </c>
      <c r="N53" s="84">
        <f t="shared" si="3"/>
        <v>3920</v>
      </c>
    </row>
    <row r="54" spans="2:14" x14ac:dyDescent="0.3">
      <c r="B54" s="76" t="s">
        <v>239</v>
      </c>
      <c r="C54" s="76" t="s">
        <v>199</v>
      </c>
      <c r="D54" s="85">
        <v>47</v>
      </c>
      <c r="E54" s="85">
        <v>33</v>
      </c>
      <c r="F54" s="85">
        <v>22</v>
      </c>
      <c r="G54" s="85">
        <v>17</v>
      </c>
      <c r="L54" s="77">
        <v>47</v>
      </c>
      <c r="M54" s="83">
        <f t="shared" si="2"/>
        <v>2090</v>
      </c>
      <c r="N54" s="84">
        <f t="shared" si="3"/>
        <v>3990</v>
      </c>
    </row>
    <row r="55" spans="2:14" x14ac:dyDescent="0.3">
      <c r="B55" s="76" t="s">
        <v>63</v>
      </c>
      <c r="C55" s="76" t="s">
        <v>199</v>
      </c>
      <c r="D55" s="85">
        <v>47</v>
      </c>
      <c r="E55" s="85">
        <v>33</v>
      </c>
      <c r="F55" s="85">
        <v>22</v>
      </c>
      <c r="G55" s="85">
        <v>17</v>
      </c>
      <c r="L55" s="77">
        <v>48</v>
      </c>
      <c r="M55" s="83">
        <f t="shared" si="2"/>
        <v>2130</v>
      </c>
      <c r="N55" s="84">
        <f t="shared" si="3"/>
        <v>4060</v>
      </c>
    </row>
    <row r="56" spans="2:14" x14ac:dyDescent="0.3">
      <c r="B56" s="76" t="s">
        <v>64</v>
      </c>
      <c r="C56" s="76" t="s">
        <v>199</v>
      </c>
      <c r="D56" s="85">
        <v>77</v>
      </c>
      <c r="E56" s="85">
        <v>57</v>
      </c>
      <c r="F56" s="85">
        <v>40</v>
      </c>
      <c r="G56" s="85">
        <v>32</v>
      </c>
      <c r="L56" s="77">
        <v>49</v>
      </c>
      <c r="M56" s="83">
        <f t="shared" si="2"/>
        <v>2170</v>
      </c>
      <c r="N56" s="84">
        <f t="shared" si="3"/>
        <v>4130</v>
      </c>
    </row>
    <row r="57" spans="2:14" x14ac:dyDescent="0.3">
      <c r="B57" s="76" t="s">
        <v>65</v>
      </c>
      <c r="C57" s="76" t="s">
        <v>199</v>
      </c>
      <c r="D57" s="85">
        <v>108</v>
      </c>
      <c r="E57" s="85">
        <v>80</v>
      </c>
      <c r="F57" s="85">
        <v>57</v>
      </c>
      <c r="G57" s="85">
        <v>45</v>
      </c>
      <c r="L57" s="77">
        <v>50</v>
      </c>
      <c r="M57" s="83">
        <f t="shared" si="2"/>
        <v>2210</v>
      </c>
      <c r="N57" s="84">
        <f t="shared" si="3"/>
        <v>4200</v>
      </c>
    </row>
    <row r="58" spans="2:14" x14ac:dyDescent="0.3">
      <c r="B58" s="76" t="s">
        <v>240</v>
      </c>
      <c r="C58" s="76" t="s">
        <v>199</v>
      </c>
      <c r="D58" s="85">
        <v>47</v>
      </c>
      <c r="E58" s="85">
        <v>33</v>
      </c>
      <c r="F58" s="85">
        <v>22</v>
      </c>
      <c r="G58" s="85">
        <v>17</v>
      </c>
      <c r="L58" s="77">
        <v>51</v>
      </c>
      <c r="M58" s="83">
        <f t="shared" si="2"/>
        <v>2250</v>
      </c>
      <c r="N58" s="84">
        <f t="shared" si="3"/>
        <v>4270</v>
      </c>
    </row>
    <row r="59" spans="2:14" x14ac:dyDescent="0.3">
      <c r="B59" s="76" t="s">
        <v>66</v>
      </c>
      <c r="C59" s="76" t="s">
        <v>199</v>
      </c>
      <c r="D59" s="85">
        <v>108</v>
      </c>
      <c r="E59" s="85">
        <v>80</v>
      </c>
      <c r="F59" s="85">
        <v>57</v>
      </c>
      <c r="G59" s="85">
        <v>45</v>
      </c>
      <c r="L59" s="77">
        <v>52</v>
      </c>
      <c r="M59" s="83">
        <f t="shared" si="2"/>
        <v>2290</v>
      </c>
      <c r="N59" s="84">
        <f t="shared" si="3"/>
        <v>4340</v>
      </c>
    </row>
    <row r="60" spans="2:14" x14ac:dyDescent="0.3">
      <c r="B60" s="76" t="s">
        <v>241</v>
      </c>
      <c r="C60" s="76" t="s">
        <v>199</v>
      </c>
      <c r="D60" s="85">
        <v>77</v>
      </c>
      <c r="E60" s="85">
        <v>57</v>
      </c>
      <c r="F60" s="85">
        <v>40</v>
      </c>
      <c r="G60" s="85">
        <v>32</v>
      </c>
      <c r="L60" s="77">
        <v>53</v>
      </c>
      <c r="M60" s="83">
        <f t="shared" si="2"/>
        <v>2330</v>
      </c>
      <c r="N60" s="84">
        <f t="shared" si="3"/>
        <v>4410</v>
      </c>
    </row>
    <row r="61" spans="2:14" x14ac:dyDescent="0.3">
      <c r="B61" s="76" t="s">
        <v>242</v>
      </c>
      <c r="C61" s="76" t="s">
        <v>199</v>
      </c>
      <c r="D61" s="85">
        <v>47</v>
      </c>
      <c r="E61" s="85">
        <v>33</v>
      </c>
      <c r="F61" s="85">
        <v>22</v>
      </c>
      <c r="G61" s="85">
        <v>17</v>
      </c>
      <c r="L61" s="77">
        <v>54</v>
      </c>
      <c r="M61" s="83">
        <f t="shared" si="2"/>
        <v>2370</v>
      </c>
      <c r="N61" s="84">
        <f t="shared" si="3"/>
        <v>4480</v>
      </c>
    </row>
    <row r="62" spans="2:14" x14ac:dyDescent="0.3">
      <c r="B62" s="76" t="s">
        <v>67</v>
      </c>
      <c r="C62" s="76" t="s">
        <v>199</v>
      </c>
      <c r="D62" s="85">
        <v>47</v>
      </c>
      <c r="E62" s="85">
        <v>33</v>
      </c>
      <c r="F62" s="85">
        <v>22</v>
      </c>
      <c r="G62" s="85">
        <v>17</v>
      </c>
      <c r="L62" s="77">
        <v>55</v>
      </c>
      <c r="M62" s="83">
        <f t="shared" si="2"/>
        <v>2410</v>
      </c>
      <c r="N62" s="84">
        <f t="shared" si="3"/>
        <v>4550</v>
      </c>
    </row>
    <row r="63" spans="2:14" x14ac:dyDescent="0.3">
      <c r="B63" s="76" t="s">
        <v>243</v>
      </c>
      <c r="C63" s="76" t="s">
        <v>199</v>
      </c>
      <c r="D63" s="85">
        <v>77</v>
      </c>
      <c r="E63" s="85">
        <v>57</v>
      </c>
      <c r="F63" s="85">
        <v>40</v>
      </c>
      <c r="G63" s="85">
        <v>32</v>
      </c>
      <c r="L63" s="77">
        <v>56</v>
      </c>
      <c r="M63" s="83">
        <f t="shared" si="2"/>
        <v>2450</v>
      </c>
      <c r="N63" s="84">
        <f t="shared" si="3"/>
        <v>4620</v>
      </c>
    </row>
    <row r="64" spans="2:14" x14ac:dyDescent="0.3">
      <c r="B64" s="76" t="s">
        <v>244</v>
      </c>
      <c r="C64" s="76" t="s">
        <v>199</v>
      </c>
      <c r="D64" s="85">
        <v>47</v>
      </c>
      <c r="E64" s="85">
        <v>33</v>
      </c>
      <c r="F64" s="85">
        <v>22</v>
      </c>
      <c r="G64" s="85">
        <v>17</v>
      </c>
      <c r="L64" s="77">
        <v>57</v>
      </c>
      <c r="M64" s="83">
        <f t="shared" si="2"/>
        <v>2490</v>
      </c>
      <c r="N64" s="84">
        <f t="shared" si="3"/>
        <v>4690</v>
      </c>
    </row>
    <row r="65" spans="2:14" x14ac:dyDescent="0.3">
      <c r="B65" s="76" t="s">
        <v>245</v>
      </c>
      <c r="C65" s="76" t="s">
        <v>199</v>
      </c>
      <c r="D65" s="85">
        <v>47</v>
      </c>
      <c r="E65" s="85">
        <v>33</v>
      </c>
      <c r="F65" s="85">
        <v>22</v>
      </c>
      <c r="G65" s="85">
        <v>17</v>
      </c>
      <c r="L65" s="77">
        <v>58</v>
      </c>
      <c r="M65" s="83">
        <f t="shared" si="2"/>
        <v>2530</v>
      </c>
      <c r="N65" s="84">
        <f t="shared" si="3"/>
        <v>4760</v>
      </c>
    </row>
    <row r="66" spans="2:14" x14ac:dyDescent="0.3">
      <c r="B66" s="76" t="s">
        <v>246</v>
      </c>
      <c r="C66" s="76" t="s">
        <v>199</v>
      </c>
      <c r="D66" s="85">
        <v>47</v>
      </c>
      <c r="E66" s="85">
        <v>33</v>
      </c>
      <c r="F66" s="85">
        <v>22</v>
      </c>
      <c r="G66" s="85">
        <v>17</v>
      </c>
      <c r="L66" s="77">
        <v>59</v>
      </c>
      <c r="M66" s="83">
        <f t="shared" si="2"/>
        <v>2570</v>
      </c>
      <c r="N66" s="84">
        <f t="shared" si="3"/>
        <v>4830</v>
      </c>
    </row>
    <row r="67" spans="2:14" x14ac:dyDescent="0.3">
      <c r="B67" s="76" t="s">
        <v>61</v>
      </c>
      <c r="C67" s="76" t="s">
        <v>199</v>
      </c>
      <c r="D67" s="85">
        <v>108</v>
      </c>
      <c r="E67" s="85">
        <v>80</v>
      </c>
      <c r="F67" s="85">
        <v>57</v>
      </c>
      <c r="G67" s="85">
        <v>45</v>
      </c>
      <c r="L67" s="77">
        <v>60</v>
      </c>
      <c r="M67" s="83">
        <f t="shared" si="2"/>
        <v>2610</v>
      </c>
      <c r="N67" s="84">
        <f t="shared" si="3"/>
        <v>4900</v>
      </c>
    </row>
    <row r="68" spans="2:14" x14ac:dyDescent="0.3">
      <c r="B68" s="76" t="s">
        <v>68</v>
      </c>
      <c r="C68" s="76" t="s">
        <v>199</v>
      </c>
      <c r="D68" s="85">
        <v>77</v>
      </c>
      <c r="E68" s="85">
        <v>57</v>
      </c>
      <c r="F68" s="85">
        <v>40</v>
      </c>
      <c r="G68" s="85">
        <v>32</v>
      </c>
      <c r="L68" s="86">
        <v>61</v>
      </c>
      <c r="M68" s="83">
        <f t="shared" si="2"/>
        <v>2650</v>
      </c>
      <c r="N68" s="87">
        <f>((L68-$L$67)*50)+4900</f>
        <v>4950</v>
      </c>
    </row>
    <row r="69" spans="2:14" x14ac:dyDescent="0.3">
      <c r="B69" s="76" t="s">
        <v>69</v>
      </c>
      <c r="C69" s="76" t="s">
        <v>199</v>
      </c>
      <c r="D69" s="85">
        <v>108</v>
      </c>
      <c r="E69" s="85">
        <v>80</v>
      </c>
      <c r="F69" s="85">
        <v>57</v>
      </c>
      <c r="G69" s="85">
        <v>45</v>
      </c>
      <c r="L69" s="77">
        <v>62</v>
      </c>
      <c r="M69" s="83">
        <f t="shared" si="2"/>
        <v>2690</v>
      </c>
      <c r="N69" s="87">
        <f t="shared" ref="N69:N97" si="4">((L69-$L$67)*50)+4900</f>
        <v>5000</v>
      </c>
    </row>
    <row r="70" spans="2:14" x14ac:dyDescent="0.3">
      <c r="B70" s="76" t="s">
        <v>247</v>
      </c>
      <c r="C70" s="76" t="s">
        <v>199</v>
      </c>
      <c r="D70" s="85">
        <v>108</v>
      </c>
      <c r="E70" s="85">
        <v>80</v>
      </c>
      <c r="F70" s="85">
        <v>57</v>
      </c>
      <c r="G70" s="85">
        <v>45</v>
      </c>
      <c r="L70" s="77">
        <v>63</v>
      </c>
      <c r="M70" s="83">
        <f t="shared" si="2"/>
        <v>2730</v>
      </c>
      <c r="N70" s="87">
        <f t="shared" si="4"/>
        <v>5050</v>
      </c>
    </row>
    <row r="71" spans="2:14" x14ac:dyDescent="0.3">
      <c r="B71" s="76" t="s">
        <v>248</v>
      </c>
      <c r="C71" s="76" t="s">
        <v>199</v>
      </c>
      <c r="D71" s="85">
        <v>77</v>
      </c>
      <c r="E71" s="85">
        <v>57</v>
      </c>
      <c r="F71" s="85">
        <v>40</v>
      </c>
      <c r="G71" s="85">
        <v>32</v>
      </c>
      <c r="L71" s="77">
        <v>64</v>
      </c>
      <c r="M71" s="83">
        <f t="shared" si="2"/>
        <v>2770</v>
      </c>
      <c r="N71" s="87">
        <f t="shared" si="4"/>
        <v>5100</v>
      </c>
    </row>
    <row r="72" spans="2:14" x14ac:dyDescent="0.3">
      <c r="B72" s="76" t="s">
        <v>329</v>
      </c>
      <c r="C72" s="76" t="s">
        <v>199</v>
      </c>
      <c r="D72" s="85">
        <v>47</v>
      </c>
      <c r="E72" s="85">
        <v>33</v>
      </c>
      <c r="F72" s="85">
        <v>22</v>
      </c>
      <c r="G72" s="85">
        <v>17</v>
      </c>
      <c r="L72" s="77">
        <v>65</v>
      </c>
      <c r="M72" s="83">
        <f t="shared" si="2"/>
        <v>2810</v>
      </c>
      <c r="N72" s="87">
        <f t="shared" si="4"/>
        <v>5150</v>
      </c>
    </row>
    <row r="73" spans="2:14" x14ac:dyDescent="0.3">
      <c r="B73" s="76" t="s">
        <v>249</v>
      </c>
      <c r="C73" s="76" t="s">
        <v>199</v>
      </c>
      <c r="D73" s="85">
        <v>108</v>
      </c>
      <c r="E73" s="85">
        <v>80</v>
      </c>
      <c r="F73" s="85">
        <v>57</v>
      </c>
      <c r="G73" s="85">
        <v>45</v>
      </c>
      <c r="L73" s="77">
        <v>66</v>
      </c>
      <c r="M73" s="83">
        <f t="shared" si="2"/>
        <v>2850</v>
      </c>
      <c r="N73" s="87">
        <f t="shared" si="4"/>
        <v>5200</v>
      </c>
    </row>
    <row r="74" spans="2:14" x14ac:dyDescent="0.3">
      <c r="B74" s="76" t="s">
        <v>70</v>
      </c>
      <c r="C74" s="76" t="s">
        <v>199</v>
      </c>
      <c r="D74" s="85">
        <v>77</v>
      </c>
      <c r="E74" s="85">
        <v>57</v>
      </c>
      <c r="F74" s="85">
        <v>40</v>
      </c>
      <c r="G74" s="85">
        <v>32</v>
      </c>
      <c r="L74" s="77">
        <v>67</v>
      </c>
      <c r="M74" s="83">
        <f t="shared" si="2"/>
        <v>2890</v>
      </c>
      <c r="N74" s="87">
        <f t="shared" si="4"/>
        <v>5250</v>
      </c>
    </row>
    <row r="75" spans="2:14" x14ac:dyDescent="0.3">
      <c r="B75" s="76" t="s">
        <v>71</v>
      </c>
      <c r="C75" s="76" t="s">
        <v>199</v>
      </c>
      <c r="D75" s="85">
        <v>47</v>
      </c>
      <c r="E75" s="85">
        <v>33</v>
      </c>
      <c r="F75" s="85">
        <v>22</v>
      </c>
      <c r="G75" s="85">
        <v>17</v>
      </c>
      <c r="L75" s="77">
        <v>68</v>
      </c>
      <c r="M75" s="83">
        <f t="shared" si="2"/>
        <v>2930</v>
      </c>
      <c r="N75" s="87">
        <f t="shared" si="4"/>
        <v>5300</v>
      </c>
    </row>
    <row r="76" spans="2:14" x14ac:dyDescent="0.3">
      <c r="B76" s="76" t="s">
        <v>250</v>
      </c>
      <c r="C76" s="76" t="s">
        <v>199</v>
      </c>
      <c r="D76" s="85">
        <v>77</v>
      </c>
      <c r="E76" s="85">
        <v>57</v>
      </c>
      <c r="F76" s="85">
        <v>40</v>
      </c>
      <c r="G76" s="85">
        <v>32</v>
      </c>
      <c r="L76" s="77">
        <v>69</v>
      </c>
      <c r="M76" s="83">
        <f t="shared" si="2"/>
        <v>2970</v>
      </c>
      <c r="N76" s="87">
        <f t="shared" si="4"/>
        <v>5350</v>
      </c>
    </row>
    <row r="77" spans="2:14" x14ac:dyDescent="0.3">
      <c r="B77" s="76" t="s">
        <v>251</v>
      </c>
      <c r="C77" s="76" t="s">
        <v>199</v>
      </c>
      <c r="D77" s="85">
        <v>108</v>
      </c>
      <c r="E77" s="85">
        <v>80</v>
      </c>
      <c r="F77" s="85">
        <v>57</v>
      </c>
      <c r="G77" s="85">
        <v>45</v>
      </c>
      <c r="L77" s="77">
        <v>70</v>
      </c>
      <c r="M77" s="83">
        <f t="shared" si="2"/>
        <v>3010</v>
      </c>
      <c r="N77" s="87">
        <f t="shared" si="4"/>
        <v>5400</v>
      </c>
    </row>
    <row r="78" spans="2:14" x14ac:dyDescent="0.3">
      <c r="B78" s="76" t="s">
        <v>252</v>
      </c>
      <c r="C78" s="76" t="s">
        <v>199</v>
      </c>
      <c r="D78" s="85">
        <v>77</v>
      </c>
      <c r="E78" s="85">
        <v>57</v>
      </c>
      <c r="F78" s="85">
        <v>40</v>
      </c>
      <c r="G78" s="85">
        <v>32</v>
      </c>
      <c r="L78" s="77">
        <v>71</v>
      </c>
      <c r="M78" s="83">
        <f t="shared" si="2"/>
        <v>3050</v>
      </c>
      <c r="N78" s="87">
        <f t="shared" si="4"/>
        <v>5450</v>
      </c>
    </row>
    <row r="79" spans="2:14" x14ac:dyDescent="0.3">
      <c r="B79" s="76" t="s">
        <v>325</v>
      </c>
      <c r="C79" s="76" t="s">
        <v>199</v>
      </c>
      <c r="D79" s="85">
        <v>47</v>
      </c>
      <c r="E79" s="85">
        <v>33</v>
      </c>
      <c r="F79" s="85">
        <v>22</v>
      </c>
      <c r="G79" s="85">
        <v>17</v>
      </c>
      <c r="L79" s="77">
        <v>72</v>
      </c>
      <c r="M79" s="83">
        <f t="shared" si="2"/>
        <v>3090</v>
      </c>
      <c r="N79" s="87">
        <f t="shared" si="4"/>
        <v>5500</v>
      </c>
    </row>
    <row r="80" spans="2:14" x14ac:dyDescent="0.3">
      <c r="B80" s="76" t="s">
        <v>72</v>
      </c>
      <c r="C80" s="76" t="s">
        <v>199</v>
      </c>
      <c r="D80" s="85">
        <v>77</v>
      </c>
      <c r="E80" s="85">
        <v>57</v>
      </c>
      <c r="F80" s="85">
        <v>40</v>
      </c>
      <c r="G80" s="85">
        <v>32</v>
      </c>
      <c r="L80" s="77">
        <v>73</v>
      </c>
      <c r="M80" s="83">
        <f t="shared" si="2"/>
        <v>3130</v>
      </c>
      <c r="N80" s="87">
        <f t="shared" si="4"/>
        <v>5550</v>
      </c>
    </row>
    <row r="81" spans="2:14" x14ac:dyDescent="0.3">
      <c r="B81" s="76" t="s">
        <v>73</v>
      </c>
      <c r="C81" s="76" t="s">
        <v>199</v>
      </c>
      <c r="D81" s="85">
        <v>47</v>
      </c>
      <c r="E81" s="85">
        <v>33</v>
      </c>
      <c r="F81" s="85">
        <v>22</v>
      </c>
      <c r="G81" s="85">
        <v>17</v>
      </c>
      <c r="L81" s="77">
        <v>74</v>
      </c>
      <c r="M81" s="83">
        <f t="shared" si="2"/>
        <v>3170</v>
      </c>
      <c r="N81" s="87">
        <f t="shared" si="4"/>
        <v>5600</v>
      </c>
    </row>
    <row r="82" spans="2:14" x14ac:dyDescent="0.3">
      <c r="B82" s="76" t="s">
        <v>314</v>
      </c>
      <c r="C82" s="76" t="s">
        <v>199</v>
      </c>
      <c r="D82" s="85">
        <v>77</v>
      </c>
      <c r="E82" s="85">
        <v>57</v>
      </c>
      <c r="F82" s="85">
        <v>40</v>
      </c>
      <c r="G82" s="85">
        <v>32</v>
      </c>
      <c r="L82" s="77">
        <v>75</v>
      </c>
      <c r="M82" s="83">
        <f t="shared" si="2"/>
        <v>3210</v>
      </c>
      <c r="N82" s="87">
        <f t="shared" si="4"/>
        <v>5650</v>
      </c>
    </row>
    <row r="83" spans="2:14" x14ac:dyDescent="0.3">
      <c r="B83" s="76" t="s">
        <v>253</v>
      </c>
      <c r="C83" s="76" t="s">
        <v>199</v>
      </c>
      <c r="D83" s="85">
        <v>47</v>
      </c>
      <c r="E83" s="85">
        <v>33</v>
      </c>
      <c r="F83" s="85">
        <v>22</v>
      </c>
      <c r="G83" s="85">
        <v>17</v>
      </c>
      <c r="L83" s="77">
        <v>76</v>
      </c>
      <c r="M83" s="83">
        <f t="shared" si="2"/>
        <v>3250</v>
      </c>
      <c r="N83" s="87">
        <f t="shared" si="4"/>
        <v>5700</v>
      </c>
    </row>
    <row r="84" spans="2:14" x14ac:dyDescent="0.3">
      <c r="B84" s="76" t="s">
        <v>254</v>
      </c>
      <c r="C84" s="76" t="s">
        <v>199</v>
      </c>
      <c r="D84" s="85">
        <v>47</v>
      </c>
      <c r="E84" s="85">
        <v>33</v>
      </c>
      <c r="F84" s="85">
        <v>22</v>
      </c>
      <c r="G84" s="85">
        <v>17</v>
      </c>
      <c r="L84" s="77">
        <v>77</v>
      </c>
      <c r="M84" s="83">
        <f t="shared" si="2"/>
        <v>3290</v>
      </c>
      <c r="N84" s="87">
        <f t="shared" si="4"/>
        <v>5750</v>
      </c>
    </row>
    <row r="85" spans="2:14" x14ac:dyDescent="0.3">
      <c r="B85" s="76" t="s">
        <v>255</v>
      </c>
      <c r="C85" s="76" t="s">
        <v>199</v>
      </c>
      <c r="D85" s="85">
        <v>47</v>
      </c>
      <c r="E85" s="85">
        <v>33</v>
      </c>
      <c r="F85" s="85">
        <v>22</v>
      </c>
      <c r="G85" s="85">
        <v>17</v>
      </c>
      <c r="L85" s="77">
        <v>78</v>
      </c>
      <c r="M85" s="83">
        <f t="shared" si="2"/>
        <v>3330</v>
      </c>
      <c r="N85" s="87">
        <f t="shared" si="4"/>
        <v>5800</v>
      </c>
    </row>
    <row r="86" spans="2:14" x14ac:dyDescent="0.3">
      <c r="B86" s="76" t="s">
        <v>324</v>
      </c>
      <c r="C86" s="76" t="s">
        <v>199</v>
      </c>
      <c r="D86" s="85">
        <v>47</v>
      </c>
      <c r="E86" s="85">
        <v>33</v>
      </c>
      <c r="F86" s="85">
        <v>22</v>
      </c>
      <c r="G86" s="85">
        <v>17</v>
      </c>
      <c r="L86" s="77">
        <v>79</v>
      </c>
      <c r="M86" s="83">
        <f t="shared" si="2"/>
        <v>3370</v>
      </c>
      <c r="N86" s="87">
        <f t="shared" si="4"/>
        <v>5850</v>
      </c>
    </row>
    <row r="87" spans="2:14" x14ac:dyDescent="0.3">
      <c r="B87" s="76" t="s">
        <v>256</v>
      </c>
      <c r="C87" s="76" t="s">
        <v>199</v>
      </c>
      <c r="D87" s="85">
        <v>108</v>
      </c>
      <c r="E87" s="85">
        <v>80</v>
      </c>
      <c r="F87" s="85">
        <v>57</v>
      </c>
      <c r="G87" s="85">
        <v>45</v>
      </c>
      <c r="L87" s="77">
        <v>80</v>
      </c>
      <c r="M87" s="83">
        <f t="shared" ref="M87:M97" si="5">((L87-$L$21)*40)+770</f>
        <v>3410</v>
      </c>
      <c r="N87" s="87">
        <f t="shared" si="4"/>
        <v>5900</v>
      </c>
    </row>
    <row r="88" spans="2:14" x14ac:dyDescent="0.3">
      <c r="B88" s="76" t="s">
        <v>257</v>
      </c>
      <c r="C88" s="76" t="s">
        <v>199</v>
      </c>
      <c r="D88" s="85">
        <v>47</v>
      </c>
      <c r="E88" s="85">
        <v>33</v>
      </c>
      <c r="F88" s="85">
        <v>22</v>
      </c>
      <c r="G88" s="85">
        <v>17</v>
      </c>
      <c r="L88" s="77">
        <v>81</v>
      </c>
      <c r="M88" s="83">
        <f t="shared" si="5"/>
        <v>3450</v>
      </c>
      <c r="N88" s="87">
        <f t="shared" si="4"/>
        <v>5950</v>
      </c>
    </row>
    <row r="89" spans="2:14" x14ac:dyDescent="0.3">
      <c r="B89" s="76" t="s">
        <v>74</v>
      </c>
      <c r="C89" s="76" t="s">
        <v>199</v>
      </c>
      <c r="D89" s="85">
        <v>77</v>
      </c>
      <c r="E89" s="85">
        <v>57</v>
      </c>
      <c r="F89" s="85">
        <v>40</v>
      </c>
      <c r="G89" s="85">
        <v>32</v>
      </c>
      <c r="L89" s="77">
        <v>82</v>
      </c>
      <c r="M89" s="83">
        <f t="shared" si="5"/>
        <v>3490</v>
      </c>
      <c r="N89" s="87">
        <f t="shared" si="4"/>
        <v>6000</v>
      </c>
    </row>
    <row r="90" spans="2:14" x14ac:dyDescent="0.3">
      <c r="B90" s="76" t="s">
        <v>258</v>
      </c>
      <c r="C90" s="76" t="s">
        <v>199</v>
      </c>
      <c r="D90" s="85">
        <v>47</v>
      </c>
      <c r="E90" s="85">
        <v>33</v>
      </c>
      <c r="F90" s="85">
        <v>22</v>
      </c>
      <c r="G90" s="85">
        <v>17</v>
      </c>
      <c r="L90" s="77">
        <v>83</v>
      </c>
      <c r="M90" s="83">
        <f t="shared" si="5"/>
        <v>3530</v>
      </c>
      <c r="N90" s="87">
        <f t="shared" si="4"/>
        <v>6050</v>
      </c>
    </row>
    <row r="91" spans="2:14" x14ac:dyDescent="0.3">
      <c r="B91" s="76" t="s">
        <v>259</v>
      </c>
      <c r="C91" s="76" t="s">
        <v>199</v>
      </c>
      <c r="D91" s="85">
        <v>108</v>
      </c>
      <c r="E91" s="85">
        <v>80</v>
      </c>
      <c r="F91" s="85">
        <v>57</v>
      </c>
      <c r="G91" s="85">
        <v>45</v>
      </c>
      <c r="L91" s="77">
        <v>84</v>
      </c>
      <c r="M91" s="83">
        <f t="shared" si="5"/>
        <v>3570</v>
      </c>
      <c r="N91" s="87">
        <f t="shared" si="4"/>
        <v>6100</v>
      </c>
    </row>
    <row r="92" spans="2:14" x14ac:dyDescent="0.3">
      <c r="B92" s="76" t="s">
        <v>75</v>
      </c>
      <c r="C92" s="76" t="s">
        <v>199</v>
      </c>
      <c r="D92" s="85">
        <v>77</v>
      </c>
      <c r="E92" s="85">
        <v>57</v>
      </c>
      <c r="F92" s="85">
        <v>40</v>
      </c>
      <c r="G92" s="85">
        <v>32</v>
      </c>
      <c r="L92" s="77">
        <v>85</v>
      </c>
      <c r="M92" s="83">
        <f t="shared" si="5"/>
        <v>3610</v>
      </c>
      <c r="N92" s="87">
        <f t="shared" si="4"/>
        <v>6150</v>
      </c>
    </row>
    <row r="93" spans="2:14" x14ac:dyDescent="0.3">
      <c r="B93" s="76" t="s">
        <v>260</v>
      </c>
      <c r="C93" s="76" t="s">
        <v>199</v>
      </c>
      <c r="D93" s="85">
        <v>47</v>
      </c>
      <c r="E93" s="85">
        <v>33</v>
      </c>
      <c r="F93" s="85">
        <v>22</v>
      </c>
      <c r="G93" s="85">
        <v>17</v>
      </c>
      <c r="L93" s="77">
        <v>86</v>
      </c>
      <c r="M93" s="83">
        <f t="shared" si="5"/>
        <v>3650</v>
      </c>
      <c r="N93" s="87">
        <f t="shared" si="4"/>
        <v>6200</v>
      </c>
    </row>
    <row r="94" spans="2:14" x14ac:dyDescent="0.3">
      <c r="B94" s="76" t="s">
        <v>261</v>
      </c>
      <c r="C94" s="76" t="s">
        <v>199</v>
      </c>
      <c r="D94" s="85">
        <v>77</v>
      </c>
      <c r="E94" s="85">
        <v>57</v>
      </c>
      <c r="F94" s="85">
        <v>40</v>
      </c>
      <c r="G94" s="85">
        <v>32</v>
      </c>
      <c r="L94" s="77">
        <v>87</v>
      </c>
      <c r="M94" s="83">
        <f t="shared" si="5"/>
        <v>3690</v>
      </c>
      <c r="N94" s="87">
        <f t="shared" si="4"/>
        <v>6250</v>
      </c>
    </row>
    <row r="95" spans="2:14" x14ac:dyDescent="0.3">
      <c r="B95" s="76" t="s">
        <v>262</v>
      </c>
      <c r="C95" s="76" t="s">
        <v>199</v>
      </c>
      <c r="D95" s="85">
        <v>47</v>
      </c>
      <c r="E95" s="85">
        <v>33</v>
      </c>
      <c r="F95" s="85">
        <v>22</v>
      </c>
      <c r="G95" s="85">
        <v>17</v>
      </c>
      <c r="L95" s="77">
        <v>88</v>
      </c>
      <c r="M95" s="83">
        <f t="shared" si="5"/>
        <v>3730</v>
      </c>
      <c r="N95" s="87">
        <f t="shared" si="4"/>
        <v>6300</v>
      </c>
    </row>
    <row r="96" spans="2:14" x14ac:dyDescent="0.3">
      <c r="B96" s="76" t="s">
        <v>263</v>
      </c>
      <c r="C96" s="76" t="s">
        <v>199</v>
      </c>
      <c r="D96" s="85">
        <v>77</v>
      </c>
      <c r="E96" s="85">
        <v>57</v>
      </c>
      <c r="F96" s="85">
        <v>40</v>
      </c>
      <c r="G96" s="85">
        <v>32</v>
      </c>
      <c r="L96" s="77">
        <v>89</v>
      </c>
      <c r="M96" s="83">
        <f t="shared" si="5"/>
        <v>3770</v>
      </c>
      <c r="N96" s="87">
        <f t="shared" si="4"/>
        <v>6350</v>
      </c>
    </row>
    <row r="97" spans="2:14" x14ac:dyDescent="0.3">
      <c r="B97" s="76" t="s">
        <v>76</v>
      </c>
      <c r="C97" s="76" t="s">
        <v>199</v>
      </c>
      <c r="D97" s="85">
        <v>47</v>
      </c>
      <c r="E97" s="85">
        <v>33</v>
      </c>
      <c r="F97" s="85">
        <v>22</v>
      </c>
      <c r="G97" s="85">
        <v>17</v>
      </c>
      <c r="L97" s="77">
        <v>90</v>
      </c>
      <c r="M97" s="83">
        <f t="shared" si="5"/>
        <v>3810</v>
      </c>
      <c r="N97" s="87">
        <f t="shared" si="4"/>
        <v>6400</v>
      </c>
    </row>
    <row r="98" spans="2:14" x14ac:dyDescent="0.3">
      <c r="B98" s="76" t="s">
        <v>77</v>
      </c>
      <c r="C98" s="76" t="s">
        <v>199</v>
      </c>
      <c r="D98" s="85">
        <v>47</v>
      </c>
      <c r="E98" s="85">
        <v>33</v>
      </c>
      <c r="F98" s="85">
        <v>22</v>
      </c>
      <c r="G98" s="85">
        <v>17</v>
      </c>
    </row>
    <row r="99" spans="2:14" x14ac:dyDescent="0.3">
      <c r="B99" s="76" t="s">
        <v>78</v>
      </c>
      <c r="C99" s="76" t="s">
        <v>199</v>
      </c>
      <c r="D99" s="85">
        <v>47</v>
      </c>
      <c r="E99" s="85">
        <v>33</v>
      </c>
      <c r="F99" s="85">
        <v>22</v>
      </c>
      <c r="G99" s="85">
        <v>17</v>
      </c>
    </row>
    <row r="100" spans="2:14" x14ac:dyDescent="0.3">
      <c r="B100" s="76" t="s">
        <v>79</v>
      </c>
      <c r="C100" s="76" t="s">
        <v>199</v>
      </c>
      <c r="D100" s="85">
        <v>77</v>
      </c>
      <c r="E100" s="85">
        <v>57</v>
      </c>
      <c r="F100" s="85">
        <v>40</v>
      </c>
      <c r="G100" s="85">
        <v>32</v>
      </c>
    </row>
    <row r="101" spans="2:14" x14ac:dyDescent="0.3">
      <c r="B101" s="76" t="s">
        <v>80</v>
      </c>
      <c r="C101" s="76" t="s">
        <v>199</v>
      </c>
      <c r="D101" s="85">
        <v>77</v>
      </c>
      <c r="E101" s="85">
        <v>57</v>
      </c>
      <c r="F101" s="85">
        <v>40</v>
      </c>
      <c r="G101" s="85">
        <v>32</v>
      </c>
    </row>
    <row r="102" spans="2:14" x14ac:dyDescent="0.3">
      <c r="B102" s="76" t="s">
        <v>54</v>
      </c>
      <c r="C102" s="76" t="s">
        <v>199</v>
      </c>
      <c r="D102" s="85">
        <v>166</v>
      </c>
      <c r="E102" s="85">
        <v>132</v>
      </c>
      <c r="F102" s="85">
        <v>102</v>
      </c>
      <c r="G102" s="85">
        <v>92</v>
      </c>
    </row>
    <row r="103" spans="2:14" x14ac:dyDescent="0.3">
      <c r="B103" s="76" t="s">
        <v>264</v>
      </c>
      <c r="C103" s="76" t="s">
        <v>199</v>
      </c>
      <c r="D103" s="85">
        <v>108</v>
      </c>
      <c r="E103" s="85">
        <v>80</v>
      </c>
      <c r="F103" s="85">
        <v>57</v>
      </c>
      <c r="G103" s="85">
        <v>45</v>
      </c>
    </row>
    <row r="104" spans="2:14" x14ac:dyDescent="0.3">
      <c r="B104" s="76" t="s">
        <v>265</v>
      </c>
      <c r="C104" s="76" t="s">
        <v>199</v>
      </c>
      <c r="D104" s="85">
        <v>77</v>
      </c>
      <c r="E104" s="85">
        <v>57</v>
      </c>
      <c r="F104" s="85">
        <v>40</v>
      </c>
      <c r="G104" s="85">
        <v>32</v>
      </c>
    </row>
    <row r="105" spans="2:14" x14ac:dyDescent="0.3">
      <c r="B105" s="76" t="s">
        <v>81</v>
      </c>
      <c r="C105" s="76" t="s">
        <v>199</v>
      </c>
      <c r="D105" s="85">
        <v>77</v>
      </c>
      <c r="E105" s="85">
        <v>57</v>
      </c>
      <c r="F105" s="85">
        <v>40</v>
      </c>
      <c r="G105" s="85">
        <v>32</v>
      </c>
    </row>
    <row r="106" spans="2:14" x14ac:dyDescent="0.3">
      <c r="B106" s="76" t="s">
        <v>328</v>
      </c>
      <c r="C106" s="76" t="s">
        <v>199</v>
      </c>
      <c r="D106" s="85">
        <v>77</v>
      </c>
      <c r="E106" s="85">
        <v>57</v>
      </c>
      <c r="F106" s="85">
        <v>40</v>
      </c>
      <c r="G106" s="85">
        <v>32</v>
      </c>
    </row>
    <row r="107" spans="2:14" x14ac:dyDescent="0.3">
      <c r="B107" s="76" t="s">
        <v>266</v>
      </c>
      <c r="C107" s="76" t="s">
        <v>199</v>
      </c>
      <c r="D107" s="85">
        <v>77</v>
      </c>
      <c r="E107" s="85">
        <v>57</v>
      </c>
      <c r="F107" s="85">
        <v>40</v>
      </c>
      <c r="G107" s="85">
        <v>32</v>
      </c>
    </row>
    <row r="108" spans="2:14" x14ac:dyDescent="0.3">
      <c r="B108" s="76" t="s">
        <v>267</v>
      </c>
      <c r="C108" s="76" t="s">
        <v>199</v>
      </c>
      <c r="D108" s="85">
        <v>47</v>
      </c>
      <c r="E108" s="85">
        <v>33</v>
      </c>
      <c r="F108" s="85">
        <v>22</v>
      </c>
      <c r="G108" s="85">
        <v>17</v>
      </c>
    </row>
    <row r="109" spans="2:14" x14ac:dyDescent="0.3">
      <c r="B109" s="76" t="s">
        <v>170</v>
      </c>
      <c r="C109" s="76" t="s">
        <v>199</v>
      </c>
      <c r="D109" s="85">
        <v>108</v>
      </c>
      <c r="E109" s="85">
        <v>80</v>
      </c>
      <c r="F109" s="85">
        <v>57</v>
      </c>
      <c r="G109" s="85">
        <v>45</v>
      </c>
    </row>
    <row r="110" spans="2:14" x14ac:dyDescent="0.3">
      <c r="B110" s="76" t="s">
        <v>82</v>
      </c>
      <c r="C110" s="76" t="s">
        <v>199</v>
      </c>
      <c r="D110" s="85">
        <v>47</v>
      </c>
      <c r="E110" s="85">
        <v>33</v>
      </c>
      <c r="F110" s="85">
        <v>22</v>
      </c>
      <c r="G110" s="85">
        <v>17</v>
      </c>
    </row>
    <row r="111" spans="2:14" x14ac:dyDescent="0.3">
      <c r="B111" s="76" t="s">
        <v>83</v>
      </c>
      <c r="C111" s="76" t="s">
        <v>199</v>
      </c>
      <c r="D111" s="85">
        <v>47</v>
      </c>
      <c r="E111" s="85">
        <v>33</v>
      </c>
      <c r="F111" s="85">
        <v>22</v>
      </c>
      <c r="G111" s="85">
        <v>17</v>
      </c>
    </row>
    <row r="112" spans="2:14" x14ac:dyDescent="0.3">
      <c r="B112" s="76" t="s">
        <v>84</v>
      </c>
      <c r="C112" s="76" t="s">
        <v>199</v>
      </c>
      <c r="D112" s="85">
        <v>108</v>
      </c>
      <c r="E112" s="85">
        <v>80</v>
      </c>
      <c r="F112" s="85">
        <v>57</v>
      </c>
      <c r="G112" s="85">
        <v>45</v>
      </c>
    </row>
    <row r="113" spans="2:7" x14ac:dyDescent="0.3">
      <c r="B113" s="76" t="s">
        <v>268</v>
      </c>
      <c r="C113" s="76" t="s">
        <v>199</v>
      </c>
      <c r="D113" s="85">
        <v>47</v>
      </c>
      <c r="E113" s="85">
        <v>33</v>
      </c>
      <c r="F113" s="85">
        <v>22</v>
      </c>
      <c r="G113" s="85">
        <v>17</v>
      </c>
    </row>
    <row r="114" spans="2:7" x14ac:dyDescent="0.3">
      <c r="B114" s="76" t="s">
        <v>269</v>
      </c>
      <c r="C114" s="76" t="s">
        <v>199</v>
      </c>
      <c r="D114" s="85">
        <v>47</v>
      </c>
      <c r="E114" s="85">
        <v>33</v>
      </c>
      <c r="F114" s="85">
        <v>22</v>
      </c>
      <c r="G114" s="85">
        <v>17</v>
      </c>
    </row>
    <row r="115" spans="2:7" x14ac:dyDescent="0.3">
      <c r="B115" s="76" t="s">
        <v>85</v>
      </c>
      <c r="C115" s="76" t="s">
        <v>199</v>
      </c>
      <c r="D115" s="85">
        <v>108</v>
      </c>
      <c r="E115" s="85">
        <v>80</v>
      </c>
      <c r="F115" s="85">
        <v>57</v>
      </c>
      <c r="G115" s="85">
        <v>45</v>
      </c>
    </row>
    <row r="116" spans="2:7" x14ac:dyDescent="0.3">
      <c r="B116" s="76" t="s">
        <v>270</v>
      </c>
      <c r="C116" s="76" t="s">
        <v>199</v>
      </c>
      <c r="D116" s="85">
        <v>47</v>
      </c>
      <c r="E116" s="85">
        <v>33</v>
      </c>
      <c r="F116" s="85">
        <v>22</v>
      </c>
      <c r="G116" s="85">
        <v>17</v>
      </c>
    </row>
    <row r="117" spans="2:7" x14ac:dyDescent="0.3">
      <c r="B117" s="76" t="s">
        <v>271</v>
      </c>
      <c r="C117" s="76" t="s">
        <v>199</v>
      </c>
      <c r="D117" s="85">
        <v>47</v>
      </c>
      <c r="E117" s="85">
        <v>33</v>
      </c>
      <c r="F117" s="85">
        <v>22</v>
      </c>
      <c r="G117" s="85">
        <v>17</v>
      </c>
    </row>
    <row r="118" spans="2:7" x14ac:dyDescent="0.3">
      <c r="B118" s="76" t="s">
        <v>86</v>
      </c>
      <c r="C118" s="76" t="s">
        <v>199</v>
      </c>
      <c r="D118" s="85">
        <v>47</v>
      </c>
      <c r="E118" s="85">
        <v>33</v>
      </c>
      <c r="F118" s="85">
        <v>22</v>
      </c>
      <c r="G118" s="85">
        <v>17</v>
      </c>
    </row>
    <row r="119" spans="2:7" x14ac:dyDescent="0.3">
      <c r="B119" s="76" t="s">
        <v>87</v>
      </c>
      <c r="C119" s="76" t="s">
        <v>199</v>
      </c>
      <c r="D119" s="85">
        <v>47</v>
      </c>
      <c r="E119" s="85">
        <v>33</v>
      </c>
      <c r="F119" s="85">
        <v>22</v>
      </c>
      <c r="G119" s="85">
        <v>17</v>
      </c>
    </row>
    <row r="120" spans="2:7" x14ac:dyDescent="0.3">
      <c r="B120" s="76" t="s">
        <v>272</v>
      </c>
      <c r="C120" s="76" t="s">
        <v>199</v>
      </c>
      <c r="D120" s="85">
        <v>47</v>
      </c>
      <c r="E120" s="85">
        <v>33</v>
      </c>
      <c r="F120" s="85">
        <v>22</v>
      </c>
      <c r="G120" s="85">
        <v>17</v>
      </c>
    </row>
    <row r="121" spans="2:7" x14ac:dyDescent="0.3">
      <c r="B121" s="76" t="s">
        <v>273</v>
      </c>
      <c r="C121" s="76" t="s">
        <v>199</v>
      </c>
      <c r="D121" s="85">
        <v>47</v>
      </c>
      <c r="E121" s="85">
        <v>33</v>
      </c>
      <c r="F121" s="85">
        <v>22</v>
      </c>
      <c r="G121" s="85">
        <v>17</v>
      </c>
    </row>
    <row r="122" spans="2:7" x14ac:dyDescent="0.3">
      <c r="B122" s="76" t="s">
        <v>274</v>
      </c>
      <c r="C122" s="76" t="s">
        <v>199</v>
      </c>
      <c r="D122" s="85">
        <v>47</v>
      </c>
      <c r="E122" s="85">
        <v>33</v>
      </c>
      <c r="F122" s="85">
        <v>22</v>
      </c>
      <c r="G122" s="85">
        <v>17</v>
      </c>
    </row>
    <row r="123" spans="2:7" x14ac:dyDescent="0.3">
      <c r="B123" s="76" t="s">
        <v>275</v>
      </c>
      <c r="C123" s="76" t="s">
        <v>199</v>
      </c>
      <c r="D123" s="85">
        <v>47</v>
      </c>
      <c r="E123" s="85">
        <v>33</v>
      </c>
      <c r="F123" s="85">
        <v>22</v>
      </c>
      <c r="G123" s="85">
        <v>17</v>
      </c>
    </row>
    <row r="124" spans="2:7" x14ac:dyDescent="0.3">
      <c r="B124" s="76" t="s">
        <v>88</v>
      </c>
      <c r="C124" s="76" t="s">
        <v>199</v>
      </c>
      <c r="D124" s="85">
        <v>108</v>
      </c>
      <c r="E124" s="85">
        <v>80</v>
      </c>
      <c r="F124" s="85">
        <v>57</v>
      </c>
      <c r="G124" s="85">
        <v>45</v>
      </c>
    </row>
    <row r="125" spans="2:7" x14ac:dyDescent="0.3">
      <c r="B125" s="76" t="s">
        <v>330</v>
      </c>
      <c r="C125" s="76" t="s">
        <v>199</v>
      </c>
      <c r="D125" s="85">
        <v>77</v>
      </c>
      <c r="E125" s="85">
        <v>57</v>
      </c>
      <c r="F125" s="85">
        <v>40</v>
      </c>
      <c r="G125" s="85">
        <v>32</v>
      </c>
    </row>
    <row r="126" spans="2:7" x14ac:dyDescent="0.3">
      <c r="B126" s="76" t="s">
        <v>89</v>
      </c>
      <c r="C126" s="76" t="s">
        <v>199</v>
      </c>
      <c r="D126" s="85">
        <v>47</v>
      </c>
      <c r="E126" s="85">
        <v>33</v>
      </c>
      <c r="F126" s="85">
        <v>22</v>
      </c>
      <c r="G126" s="85">
        <v>17</v>
      </c>
    </row>
    <row r="127" spans="2:7" x14ac:dyDescent="0.3">
      <c r="B127" s="76" t="s">
        <v>90</v>
      </c>
      <c r="C127" s="76" t="s">
        <v>199</v>
      </c>
      <c r="D127" s="85">
        <v>47</v>
      </c>
      <c r="E127" s="85">
        <v>33</v>
      </c>
      <c r="F127" s="85">
        <v>22</v>
      </c>
      <c r="G127" s="85">
        <v>17</v>
      </c>
    </row>
    <row r="128" spans="2:7" x14ac:dyDescent="0.3">
      <c r="B128" s="76" t="s">
        <v>91</v>
      </c>
      <c r="C128" s="76" t="s">
        <v>199</v>
      </c>
      <c r="D128" s="85">
        <v>108</v>
      </c>
      <c r="E128" s="85">
        <v>80</v>
      </c>
      <c r="F128" s="85">
        <v>57</v>
      </c>
      <c r="G128" s="85">
        <v>45</v>
      </c>
    </row>
    <row r="129" spans="2:7" x14ac:dyDescent="0.3">
      <c r="B129" s="76" t="s">
        <v>92</v>
      </c>
      <c r="C129" s="76" t="s">
        <v>199</v>
      </c>
      <c r="D129" s="85">
        <v>77</v>
      </c>
      <c r="E129" s="85">
        <v>57</v>
      </c>
      <c r="F129" s="85">
        <v>40</v>
      </c>
      <c r="G129" s="85">
        <v>32</v>
      </c>
    </row>
    <row r="130" spans="2:7" x14ac:dyDescent="0.3">
      <c r="B130" s="76" t="s">
        <v>276</v>
      </c>
      <c r="C130" s="76" t="s">
        <v>199</v>
      </c>
      <c r="D130" s="85">
        <v>77</v>
      </c>
      <c r="E130" s="85">
        <v>57</v>
      </c>
      <c r="F130" s="85">
        <v>40</v>
      </c>
      <c r="G130" s="85">
        <v>32</v>
      </c>
    </row>
    <row r="131" spans="2:7" x14ac:dyDescent="0.3">
      <c r="B131" s="76" t="s">
        <v>277</v>
      </c>
      <c r="C131" s="76" t="s">
        <v>199</v>
      </c>
      <c r="D131" s="85">
        <v>47</v>
      </c>
      <c r="E131" s="85">
        <v>33</v>
      </c>
      <c r="F131" s="85">
        <v>22</v>
      </c>
      <c r="G131" s="85">
        <v>17</v>
      </c>
    </row>
    <row r="132" spans="2:7" x14ac:dyDescent="0.3">
      <c r="B132" s="76" t="s">
        <v>278</v>
      </c>
      <c r="C132" s="76" t="s">
        <v>199</v>
      </c>
      <c r="D132" s="85">
        <v>77</v>
      </c>
      <c r="E132" s="85">
        <v>57</v>
      </c>
      <c r="F132" s="85">
        <v>40</v>
      </c>
      <c r="G132" s="85">
        <v>32</v>
      </c>
    </row>
    <row r="133" spans="2:7" x14ac:dyDescent="0.3">
      <c r="B133" s="76" t="s">
        <v>279</v>
      </c>
      <c r="C133" s="76" t="s">
        <v>199</v>
      </c>
      <c r="D133" s="85">
        <v>47</v>
      </c>
      <c r="E133" s="85">
        <v>33</v>
      </c>
      <c r="F133" s="85">
        <v>22</v>
      </c>
      <c r="G133" s="85">
        <v>17</v>
      </c>
    </row>
    <row r="134" spans="2:7" x14ac:dyDescent="0.3">
      <c r="B134" s="76" t="s">
        <v>93</v>
      </c>
      <c r="C134" s="76" t="s">
        <v>199</v>
      </c>
      <c r="D134" s="85">
        <v>47</v>
      </c>
      <c r="E134" s="85">
        <v>33</v>
      </c>
      <c r="F134" s="85">
        <v>22</v>
      </c>
      <c r="G134" s="85">
        <v>17</v>
      </c>
    </row>
    <row r="135" spans="2:7" x14ac:dyDescent="0.3">
      <c r="B135" s="76" t="s">
        <v>94</v>
      </c>
      <c r="C135" s="76" t="s">
        <v>199</v>
      </c>
      <c r="D135" s="85">
        <v>47</v>
      </c>
      <c r="E135" s="85">
        <v>33</v>
      </c>
      <c r="F135" s="85">
        <v>22</v>
      </c>
      <c r="G135" s="85">
        <v>17</v>
      </c>
    </row>
    <row r="136" spans="2:7" x14ac:dyDescent="0.3">
      <c r="B136" s="76" t="s">
        <v>280</v>
      </c>
      <c r="C136" s="76" t="s">
        <v>199</v>
      </c>
      <c r="D136" s="85">
        <v>47</v>
      </c>
      <c r="E136" s="85">
        <v>33</v>
      </c>
      <c r="F136" s="85">
        <v>22</v>
      </c>
      <c r="G136" s="85">
        <v>17</v>
      </c>
    </row>
    <row r="137" spans="2:7" x14ac:dyDescent="0.3">
      <c r="B137" s="76" t="s">
        <v>281</v>
      </c>
      <c r="C137" s="76" t="s">
        <v>199</v>
      </c>
      <c r="D137" s="85">
        <v>108</v>
      </c>
      <c r="E137" s="85">
        <v>80</v>
      </c>
      <c r="F137" s="85">
        <v>57</v>
      </c>
      <c r="G137" s="85">
        <v>45</v>
      </c>
    </row>
    <row r="138" spans="2:7" x14ac:dyDescent="0.3">
      <c r="B138" s="76" t="s">
        <v>282</v>
      </c>
      <c r="C138" s="76" t="s">
        <v>199</v>
      </c>
      <c r="D138" s="85">
        <v>47</v>
      </c>
      <c r="E138" s="85">
        <v>33</v>
      </c>
      <c r="F138" s="85">
        <v>22</v>
      </c>
      <c r="G138" s="85">
        <v>17</v>
      </c>
    </row>
    <row r="139" spans="2:7" x14ac:dyDescent="0.3">
      <c r="B139" s="76" t="s">
        <v>95</v>
      </c>
      <c r="C139" s="76" t="s">
        <v>199</v>
      </c>
      <c r="D139" s="85">
        <v>47</v>
      </c>
      <c r="E139" s="85">
        <v>33</v>
      </c>
      <c r="F139" s="85">
        <v>22</v>
      </c>
      <c r="G139" s="85">
        <v>17</v>
      </c>
    </row>
    <row r="140" spans="2:7" x14ac:dyDescent="0.3">
      <c r="B140" s="76" t="s">
        <v>283</v>
      </c>
      <c r="C140" s="76" t="s">
        <v>199</v>
      </c>
      <c r="D140" s="85">
        <v>47</v>
      </c>
      <c r="E140" s="85">
        <v>33</v>
      </c>
      <c r="F140" s="85">
        <v>22</v>
      </c>
      <c r="G140" s="85">
        <v>17</v>
      </c>
    </row>
    <row r="141" spans="2:7" x14ac:dyDescent="0.3">
      <c r="B141" s="76" t="s">
        <v>169</v>
      </c>
      <c r="C141" s="76" t="s">
        <v>199</v>
      </c>
      <c r="D141" s="85">
        <v>77</v>
      </c>
      <c r="E141" s="85">
        <v>57</v>
      </c>
      <c r="F141" s="85">
        <v>40</v>
      </c>
      <c r="G141" s="85">
        <v>32</v>
      </c>
    </row>
    <row r="142" spans="2:7" x14ac:dyDescent="0.3">
      <c r="B142" s="76" t="s">
        <v>96</v>
      </c>
      <c r="C142" s="76" t="s">
        <v>199</v>
      </c>
      <c r="D142" s="85">
        <v>77</v>
      </c>
      <c r="E142" s="85">
        <v>57</v>
      </c>
      <c r="F142" s="85">
        <v>40</v>
      </c>
      <c r="G142" s="85">
        <v>32</v>
      </c>
    </row>
    <row r="143" spans="2:7" x14ac:dyDescent="0.3">
      <c r="B143" s="76" t="s">
        <v>284</v>
      </c>
      <c r="C143" s="76" t="s">
        <v>199</v>
      </c>
      <c r="D143" s="85">
        <v>77</v>
      </c>
      <c r="E143" s="85">
        <v>57</v>
      </c>
      <c r="F143" s="85">
        <v>40</v>
      </c>
      <c r="G143" s="85">
        <v>32</v>
      </c>
    </row>
    <row r="144" spans="2:7" x14ac:dyDescent="0.3">
      <c r="B144" s="76" t="s">
        <v>97</v>
      </c>
      <c r="C144" s="76" t="s">
        <v>199</v>
      </c>
      <c r="D144" s="85">
        <v>77</v>
      </c>
      <c r="E144" s="85">
        <v>57</v>
      </c>
      <c r="F144" s="85">
        <v>40</v>
      </c>
      <c r="G144" s="85">
        <v>32</v>
      </c>
    </row>
    <row r="145" spans="2:7" x14ac:dyDescent="0.3">
      <c r="B145" s="76" t="s">
        <v>137</v>
      </c>
      <c r="C145" s="76" t="s">
        <v>199</v>
      </c>
      <c r="D145" s="85">
        <v>108</v>
      </c>
      <c r="E145" s="85">
        <v>80</v>
      </c>
      <c r="F145" s="85">
        <v>57</v>
      </c>
      <c r="G145" s="85">
        <v>45</v>
      </c>
    </row>
    <row r="146" spans="2:7" x14ac:dyDescent="0.3">
      <c r="B146" s="76" t="s">
        <v>98</v>
      </c>
      <c r="C146" s="76" t="s">
        <v>199</v>
      </c>
      <c r="D146" s="85">
        <v>47</v>
      </c>
      <c r="E146" s="85">
        <v>33</v>
      </c>
      <c r="F146" s="85">
        <v>22</v>
      </c>
      <c r="G146" s="85">
        <v>17</v>
      </c>
    </row>
    <row r="147" spans="2:7" x14ac:dyDescent="0.3">
      <c r="B147" s="76" t="s">
        <v>183</v>
      </c>
      <c r="C147" s="76" t="s">
        <v>199</v>
      </c>
      <c r="D147" s="85">
        <v>77</v>
      </c>
      <c r="E147" s="85">
        <v>57</v>
      </c>
      <c r="F147" s="85">
        <v>40</v>
      </c>
      <c r="G147" s="85">
        <v>32</v>
      </c>
    </row>
    <row r="148" spans="2:7" x14ac:dyDescent="0.3">
      <c r="B148" s="76" t="s">
        <v>285</v>
      </c>
      <c r="C148" s="76" t="s">
        <v>199</v>
      </c>
      <c r="D148" s="85">
        <v>47</v>
      </c>
      <c r="E148" s="85">
        <v>33</v>
      </c>
      <c r="F148" s="85">
        <v>22</v>
      </c>
      <c r="G148" s="85">
        <v>17</v>
      </c>
    </row>
    <row r="149" spans="2:7" x14ac:dyDescent="0.3">
      <c r="B149" s="76" t="s">
        <v>286</v>
      </c>
      <c r="C149" s="76" t="s">
        <v>199</v>
      </c>
      <c r="D149" s="85">
        <v>108</v>
      </c>
      <c r="E149" s="85">
        <v>80</v>
      </c>
      <c r="F149" s="85">
        <v>57</v>
      </c>
      <c r="G149" s="85">
        <v>45</v>
      </c>
    </row>
    <row r="150" spans="2:7" x14ac:dyDescent="0.3">
      <c r="B150" s="76" t="s">
        <v>321</v>
      </c>
      <c r="C150" s="76" t="s">
        <v>199</v>
      </c>
      <c r="D150" s="85">
        <v>108</v>
      </c>
      <c r="E150" s="85">
        <v>80</v>
      </c>
      <c r="F150" s="85">
        <v>57</v>
      </c>
      <c r="G150" s="85">
        <v>45</v>
      </c>
    </row>
    <row r="151" spans="2:7" x14ac:dyDescent="0.3">
      <c r="B151" s="76" t="s">
        <v>287</v>
      </c>
      <c r="C151" s="76" t="s">
        <v>199</v>
      </c>
      <c r="D151" s="85">
        <v>108</v>
      </c>
      <c r="E151" s="85">
        <v>80</v>
      </c>
      <c r="F151" s="85">
        <v>57</v>
      </c>
      <c r="G151" s="85">
        <v>45</v>
      </c>
    </row>
    <row r="152" spans="2:7" x14ac:dyDescent="0.3">
      <c r="B152" s="76" t="s">
        <v>288</v>
      </c>
      <c r="C152" s="76" t="s">
        <v>199</v>
      </c>
      <c r="D152" s="85">
        <v>47</v>
      </c>
      <c r="E152" s="85">
        <v>33</v>
      </c>
      <c r="F152" s="85">
        <v>22</v>
      </c>
      <c r="G152" s="85">
        <v>17</v>
      </c>
    </row>
    <row r="153" spans="2:7" x14ac:dyDescent="0.3">
      <c r="B153" s="76" t="s">
        <v>289</v>
      </c>
      <c r="C153" s="76" t="s">
        <v>199</v>
      </c>
      <c r="D153" s="85">
        <v>108</v>
      </c>
      <c r="E153" s="85">
        <v>80</v>
      </c>
      <c r="F153" s="85">
        <v>57</v>
      </c>
      <c r="G153" s="85">
        <v>45</v>
      </c>
    </row>
    <row r="154" spans="2:7" x14ac:dyDescent="0.3">
      <c r="B154" s="76" t="s">
        <v>290</v>
      </c>
      <c r="C154" s="76" t="s">
        <v>199</v>
      </c>
      <c r="D154" s="85">
        <v>77</v>
      </c>
      <c r="E154" s="85">
        <v>57</v>
      </c>
      <c r="F154" s="85">
        <v>40</v>
      </c>
      <c r="G154" s="85">
        <v>32</v>
      </c>
    </row>
    <row r="155" spans="2:7" x14ac:dyDescent="0.3">
      <c r="B155" s="76" t="s">
        <v>99</v>
      </c>
      <c r="C155" s="76" t="s">
        <v>199</v>
      </c>
      <c r="D155" s="85">
        <v>108</v>
      </c>
      <c r="E155" s="85">
        <v>80</v>
      </c>
      <c r="F155" s="85">
        <v>57</v>
      </c>
      <c r="G155" s="85">
        <v>45</v>
      </c>
    </row>
    <row r="156" spans="2:7" x14ac:dyDescent="0.3">
      <c r="B156" s="76" t="s">
        <v>291</v>
      </c>
      <c r="C156" s="76" t="s">
        <v>199</v>
      </c>
      <c r="D156" s="85">
        <v>108</v>
      </c>
      <c r="E156" s="85">
        <v>80</v>
      </c>
      <c r="F156" s="85">
        <v>57</v>
      </c>
      <c r="G156" s="85">
        <v>45</v>
      </c>
    </row>
    <row r="157" spans="2:7" x14ac:dyDescent="0.3">
      <c r="B157" s="76" t="s">
        <v>292</v>
      </c>
      <c r="C157" s="76" t="s">
        <v>199</v>
      </c>
      <c r="D157" s="85">
        <v>47</v>
      </c>
      <c r="E157" s="85">
        <v>33</v>
      </c>
      <c r="F157" s="85">
        <v>22</v>
      </c>
      <c r="G157" s="85">
        <v>17</v>
      </c>
    </row>
    <row r="158" spans="2:7" x14ac:dyDescent="0.3">
      <c r="B158" s="76" t="s">
        <v>326</v>
      </c>
      <c r="C158" s="76" t="s">
        <v>199</v>
      </c>
      <c r="D158" s="85">
        <v>47</v>
      </c>
      <c r="E158" s="85">
        <v>33</v>
      </c>
      <c r="F158" s="85">
        <v>22</v>
      </c>
      <c r="G158" s="85">
        <v>17</v>
      </c>
    </row>
    <row r="159" spans="2:7" x14ac:dyDescent="0.3">
      <c r="B159" s="76" t="s">
        <v>293</v>
      </c>
      <c r="C159" s="76" t="s">
        <v>199</v>
      </c>
      <c r="D159" s="85">
        <v>47</v>
      </c>
      <c r="E159" s="85">
        <v>33</v>
      </c>
      <c r="F159" s="85">
        <v>22</v>
      </c>
      <c r="G159" s="85">
        <v>17</v>
      </c>
    </row>
    <row r="160" spans="2:7" x14ac:dyDescent="0.3">
      <c r="B160" s="76" t="s">
        <v>100</v>
      </c>
      <c r="C160" s="76" t="s">
        <v>199</v>
      </c>
      <c r="D160" s="85">
        <v>77</v>
      </c>
      <c r="E160" s="85">
        <v>57</v>
      </c>
      <c r="F160" s="85">
        <v>40</v>
      </c>
      <c r="G160" s="85">
        <v>32</v>
      </c>
    </row>
    <row r="161" spans="2:7" x14ac:dyDescent="0.3">
      <c r="B161" s="76" t="s">
        <v>294</v>
      </c>
      <c r="C161" s="76" t="s">
        <v>199</v>
      </c>
      <c r="D161" s="85">
        <v>47</v>
      </c>
      <c r="E161" s="85">
        <v>33</v>
      </c>
      <c r="F161" s="85">
        <v>22</v>
      </c>
      <c r="G161" s="85">
        <v>17</v>
      </c>
    </row>
    <row r="162" spans="2:7" x14ac:dyDescent="0.3">
      <c r="B162" s="76" t="s">
        <v>313</v>
      </c>
      <c r="C162" s="76" t="s">
        <v>199</v>
      </c>
      <c r="D162" s="85">
        <v>47</v>
      </c>
      <c r="E162" s="85">
        <v>33</v>
      </c>
      <c r="F162" s="85">
        <v>22</v>
      </c>
      <c r="G162" s="85">
        <v>17</v>
      </c>
    </row>
    <row r="163" spans="2:7" x14ac:dyDescent="0.3">
      <c r="B163" s="76" t="s">
        <v>295</v>
      </c>
      <c r="C163" s="76" t="s">
        <v>199</v>
      </c>
      <c r="D163" s="85">
        <v>47</v>
      </c>
      <c r="E163" s="85">
        <v>33</v>
      </c>
      <c r="F163" s="85">
        <v>22</v>
      </c>
      <c r="G163" s="85">
        <v>17</v>
      </c>
    </row>
    <row r="164" spans="2:7" x14ac:dyDescent="0.3">
      <c r="B164" s="76" t="s">
        <v>327</v>
      </c>
      <c r="C164" s="76" t="s">
        <v>199</v>
      </c>
      <c r="D164" s="85">
        <v>77</v>
      </c>
      <c r="E164" s="85">
        <v>57</v>
      </c>
      <c r="F164" s="85">
        <v>40</v>
      </c>
      <c r="G164" s="85">
        <v>32</v>
      </c>
    </row>
    <row r="165" spans="2:7" x14ac:dyDescent="0.3">
      <c r="B165" s="76" t="s">
        <v>296</v>
      </c>
      <c r="C165" s="76" t="s">
        <v>199</v>
      </c>
      <c r="D165" s="85">
        <v>77</v>
      </c>
      <c r="E165" s="85">
        <v>57</v>
      </c>
      <c r="F165" s="85">
        <v>40</v>
      </c>
      <c r="G165" s="85">
        <v>32</v>
      </c>
    </row>
    <row r="166" spans="2:7" x14ac:dyDescent="0.3">
      <c r="B166" s="76" t="s">
        <v>101</v>
      </c>
      <c r="C166" s="76" t="s">
        <v>199</v>
      </c>
      <c r="D166" s="85">
        <v>47</v>
      </c>
      <c r="E166" s="85">
        <v>33</v>
      </c>
      <c r="F166" s="85">
        <v>22</v>
      </c>
      <c r="G166" s="85">
        <v>17</v>
      </c>
    </row>
    <row r="167" spans="2:7" x14ac:dyDescent="0.3">
      <c r="B167" s="76" t="s">
        <v>102</v>
      </c>
      <c r="C167" s="76" t="s">
        <v>199</v>
      </c>
      <c r="D167" s="85">
        <v>47</v>
      </c>
      <c r="E167" s="85">
        <v>33</v>
      </c>
      <c r="F167" s="85">
        <v>22</v>
      </c>
      <c r="G167" s="85">
        <v>17</v>
      </c>
    </row>
    <row r="168" spans="2:7" x14ac:dyDescent="0.3">
      <c r="B168" s="76" t="s">
        <v>297</v>
      </c>
      <c r="C168" s="76" t="s">
        <v>199</v>
      </c>
      <c r="D168" s="85">
        <v>47</v>
      </c>
      <c r="E168" s="85">
        <v>33</v>
      </c>
      <c r="F168" s="85">
        <v>22</v>
      </c>
      <c r="G168" s="85">
        <v>17</v>
      </c>
    </row>
    <row r="169" spans="2:7" x14ac:dyDescent="0.3">
      <c r="B169" s="76" t="s">
        <v>103</v>
      </c>
      <c r="C169" s="76" t="s">
        <v>199</v>
      </c>
      <c r="D169" s="85">
        <v>108</v>
      </c>
      <c r="E169" s="85">
        <v>80</v>
      </c>
      <c r="F169" s="85">
        <v>57</v>
      </c>
      <c r="G169" s="85">
        <v>45</v>
      </c>
    </row>
    <row r="170" spans="2:7" x14ac:dyDescent="0.3">
      <c r="B170" s="76" t="s">
        <v>331</v>
      </c>
      <c r="C170" s="76" t="s">
        <v>199</v>
      </c>
      <c r="D170" s="85">
        <v>47</v>
      </c>
      <c r="E170" s="85">
        <v>33</v>
      </c>
      <c r="F170" s="85">
        <v>22</v>
      </c>
      <c r="G170" s="85">
        <v>17</v>
      </c>
    </row>
    <row r="171" spans="2:7" x14ac:dyDescent="0.3">
      <c r="B171" s="76" t="s">
        <v>298</v>
      </c>
      <c r="C171" s="76" t="s">
        <v>199</v>
      </c>
      <c r="D171" s="85">
        <v>47</v>
      </c>
      <c r="E171" s="85">
        <v>33</v>
      </c>
      <c r="F171" s="85">
        <v>22</v>
      </c>
      <c r="G171" s="85">
        <v>17</v>
      </c>
    </row>
    <row r="172" spans="2:7" x14ac:dyDescent="0.3">
      <c r="B172" s="76" t="s">
        <v>299</v>
      </c>
      <c r="C172" s="76" t="s">
        <v>199</v>
      </c>
      <c r="D172" s="85">
        <v>47</v>
      </c>
      <c r="E172" s="85">
        <v>33</v>
      </c>
      <c r="F172" s="85">
        <v>22</v>
      </c>
      <c r="G172" s="85">
        <v>17</v>
      </c>
    </row>
    <row r="173" spans="2:7" x14ac:dyDescent="0.3">
      <c r="B173" s="76" t="s">
        <v>300</v>
      </c>
      <c r="C173" s="76" t="s">
        <v>199</v>
      </c>
      <c r="D173" s="85">
        <v>77</v>
      </c>
      <c r="E173" s="85">
        <v>57</v>
      </c>
      <c r="F173" s="85">
        <v>40</v>
      </c>
      <c r="G173" s="85">
        <v>32</v>
      </c>
    </row>
    <row r="174" spans="2:7" x14ac:dyDescent="0.3">
      <c r="B174" s="76" t="s">
        <v>104</v>
      </c>
      <c r="C174" s="76" t="s">
        <v>199</v>
      </c>
      <c r="D174" s="85">
        <v>47</v>
      </c>
      <c r="E174" s="85">
        <v>33</v>
      </c>
      <c r="F174" s="85">
        <v>22</v>
      </c>
      <c r="G174" s="85">
        <v>17</v>
      </c>
    </row>
    <row r="175" spans="2:7" x14ac:dyDescent="0.3">
      <c r="B175" s="76" t="s">
        <v>105</v>
      </c>
      <c r="C175" s="76" t="s">
        <v>199</v>
      </c>
      <c r="D175" s="85">
        <v>47</v>
      </c>
      <c r="E175" s="85">
        <v>33</v>
      </c>
      <c r="F175" s="85">
        <v>22</v>
      </c>
      <c r="G175" s="85">
        <v>17</v>
      </c>
    </row>
    <row r="176" spans="2:7" x14ac:dyDescent="0.3">
      <c r="B176" s="76" t="s">
        <v>301</v>
      </c>
      <c r="C176" s="76" t="s">
        <v>199</v>
      </c>
      <c r="D176" s="85">
        <v>47</v>
      </c>
      <c r="E176" s="85">
        <v>33</v>
      </c>
      <c r="F176" s="85">
        <v>22</v>
      </c>
      <c r="G176" s="85">
        <v>17</v>
      </c>
    </row>
    <row r="177" spans="2:7" x14ac:dyDescent="0.3">
      <c r="B177" s="76" t="s">
        <v>302</v>
      </c>
      <c r="C177" s="76" t="s">
        <v>199</v>
      </c>
      <c r="D177" s="85">
        <v>47</v>
      </c>
      <c r="E177" s="85">
        <v>33</v>
      </c>
      <c r="F177" s="85">
        <v>22</v>
      </c>
      <c r="G177" s="85">
        <v>17</v>
      </c>
    </row>
    <row r="178" spans="2:7" x14ac:dyDescent="0.3">
      <c r="B178" s="76" t="s">
        <v>182</v>
      </c>
      <c r="C178" s="76" t="s">
        <v>199</v>
      </c>
      <c r="D178" s="85">
        <v>108</v>
      </c>
      <c r="E178" s="85">
        <v>80</v>
      </c>
      <c r="F178" s="85">
        <v>57</v>
      </c>
      <c r="G178" s="85">
        <v>45</v>
      </c>
    </row>
    <row r="179" spans="2:7" x14ac:dyDescent="0.3">
      <c r="B179" s="76" t="s">
        <v>106</v>
      </c>
      <c r="C179" s="76" t="s">
        <v>199</v>
      </c>
      <c r="D179" s="85">
        <v>108</v>
      </c>
      <c r="E179" s="85">
        <v>80</v>
      </c>
      <c r="F179" s="85">
        <v>57</v>
      </c>
      <c r="G179" s="85">
        <v>45</v>
      </c>
    </row>
    <row r="180" spans="2:7" x14ac:dyDescent="0.3">
      <c r="B180" s="76" t="s">
        <v>107</v>
      </c>
      <c r="C180" s="76" t="s">
        <v>199</v>
      </c>
      <c r="D180" s="85">
        <v>47</v>
      </c>
      <c r="E180" s="85">
        <v>33</v>
      </c>
      <c r="F180" s="85">
        <v>22</v>
      </c>
      <c r="G180" s="85">
        <v>17</v>
      </c>
    </row>
    <row r="181" spans="2:7" x14ac:dyDescent="0.3">
      <c r="B181" s="76" t="s">
        <v>303</v>
      </c>
      <c r="C181" s="76" t="s">
        <v>199</v>
      </c>
      <c r="D181" s="85">
        <v>77</v>
      </c>
      <c r="E181" s="85">
        <v>57</v>
      </c>
      <c r="F181" s="85">
        <v>40</v>
      </c>
      <c r="G181" s="85">
        <v>32</v>
      </c>
    </row>
    <row r="182" spans="2:7" x14ac:dyDescent="0.3">
      <c r="B182" s="76" t="s">
        <v>108</v>
      </c>
      <c r="C182" s="76" t="s">
        <v>199</v>
      </c>
      <c r="D182" s="85">
        <v>108</v>
      </c>
      <c r="E182" s="85">
        <v>80</v>
      </c>
      <c r="F182" s="85">
        <v>57</v>
      </c>
      <c r="G182" s="85">
        <v>45</v>
      </c>
    </row>
    <row r="183" spans="2:7" x14ac:dyDescent="0.3">
      <c r="B183" s="76" t="s">
        <v>109</v>
      </c>
      <c r="C183" s="76" t="s">
        <v>199</v>
      </c>
      <c r="D183" s="85">
        <v>47</v>
      </c>
      <c r="E183" s="85">
        <v>33</v>
      </c>
      <c r="F183" s="85">
        <v>22</v>
      </c>
      <c r="G183" s="85">
        <v>17</v>
      </c>
    </row>
    <row r="184" spans="2:7" x14ac:dyDescent="0.3">
      <c r="B184" s="76" t="s">
        <v>110</v>
      </c>
      <c r="C184" s="76" t="s">
        <v>199</v>
      </c>
      <c r="D184" s="85">
        <v>47</v>
      </c>
      <c r="E184" s="85">
        <v>33</v>
      </c>
      <c r="F184" s="85">
        <v>22</v>
      </c>
      <c r="G184" s="85">
        <v>17</v>
      </c>
    </row>
    <row r="185" spans="2:7" x14ac:dyDescent="0.3">
      <c r="B185" s="76" t="s">
        <v>304</v>
      </c>
      <c r="C185" s="76" t="s">
        <v>199</v>
      </c>
      <c r="D185" s="85">
        <v>108</v>
      </c>
      <c r="E185" s="85">
        <v>80</v>
      </c>
      <c r="F185" s="85">
        <v>57</v>
      </c>
      <c r="G185" s="85">
        <v>45</v>
      </c>
    </row>
    <row r="186" spans="2:7" x14ac:dyDescent="0.3">
      <c r="B186" s="76" t="s">
        <v>305</v>
      </c>
      <c r="C186" s="76" t="s">
        <v>199</v>
      </c>
      <c r="D186" s="85">
        <v>108</v>
      </c>
      <c r="E186" s="85">
        <v>80</v>
      </c>
      <c r="F186" s="85">
        <v>57</v>
      </c>
      <c r="G186" s="85">
        <v>45</v>
      </c>
    </row>
  </sheetData>
  <sheetProtection password="E359" sheet="1" objects="1" scenarios="1"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2.xml><?xml version="1.0" encoding="utf-8"?>
<ds:datastoreItem xmlns:ds="http://schemas.openxmlformats.org/officeDocument/2006/customXml" ds:itemID="{B5FB2861-ECA0-4B0A-9CC6-B62988A7DC03}">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Aleksandra</cp:lastModifiedBy>
  <cp:lastPrinted>2017-11-10T08:43:50Z</cp:lastPrinted>
  <dcterms:created xsi:type="dcterms:W3CDTF">2013-09-27T15:40:24Z</dcterms:created>
  <dcterms:modified xsi:type="dcterms:W3CDTF">2018-05-22T20:22:07Z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